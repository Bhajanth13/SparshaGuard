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Values from Papers" sheetId="2" state="visible" r:id="rId4"/>
    <sheet name="Sources" sheetId="3" state="visible" r:id="rId5"/>
    <sheet name="Model v0.2 Params" sheetId="4" state="visible" r:id="rId6"/>
    <sheet name="Still Estimated" sheetId="5" state="visible" r:id="rId7"/>
  </sheets>
  <definedNames>
    <definedName function="false" hidden="true" localSheetId="3" name="_xlnm._FilterDatabase" vbProcedure="false">'Model v0.2 Params'!$A$3:$G$38</definedName>
    <definedName function="false" hidden="true" localSheetId="2" name="_xlnm._FilterDatabase" vbProcedure="false">Sources!$A$3:$L$19</definedName>
    <definedName function="false" hidden="true" localSheetId="1" name="_xlnm._FilterDatabase" vbProcedure="false">'Values from Papers'!$A$4:$L$110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<sst xmlns="http://schemas.openxmlformats.org/spreadsheetml/2006/main" count="1418" uniqueCount="785">
  <si>
    <t xml:space="preserve">SparshaGuard — parameter sources</t>
  </si>
  <si>
    <t xml:space="preserve">Purpose</t>
  </si>
  <si>
    <t xml:space="preserve">Every value taken from a paper for the SparshaGuard simulation, with its full reference, and every parameter the model uses with where it came from.</t>
  </si>
  <si>
    <t xml:space="preserve">Project folder</t>
  </si>
  <si>
    <t xml:space="preserve">D:\SPARSHA  (model: sg_model.py; notes: docs\parameter_sources.md, docs\new_findings_pending.md)</t>
  </si>
  <si>
    <t xml:space="preserve">Last updated</t>
  </si>
  <si>
    <t xml:space="preserve">2026-10-11</t>
  </si>
  <si>
    <t xml:space="preserve">Sheets</t>
  </si>
  <si>
    <t xml:space="preserve">Values from Papers</t>
  </si>
  <si>
    <t xml:space="preserve">The log: one row per value, with source, location in the source and status.</t>
  </si>
  <si>
    <t xml:space="preserve">Sources</t>
  </si>
  <si>
    <t xml:space="preserve">Full reference and link for each source ID.</t>
  </si>
  <si>
    <t xml:space="preserve">Model v0.2 Params</t>
  </si>
  <si>
    <t xml:space="preserve">Each parameter in sg_model.py, the value used, and its tag and sources.</t>
  </si>
  <si>
    <t xml:space="preserve">Still Estimated</t>
  </si>
  <si>
    <t xml:space="preserve">Values with no published source yet, and how Gate 1 should measure them.</t>
  </si>
  <si>
    <t xml:space="preserve">Adding a value</t>
  </si>
  <si>
    <t xml:space="preserve">Add a row at the bottom of 'Values from Papers'. Fill Category to Location, pick a Status from the drop-down, and use a Source ID listed on 'Sources' (add the source there first if it's new). The short source name fills in by itself.</t>
  </si>
  <si>
    <t xml:space="preserve">Counts (live)</t>
  </si>
  <si>
    <t xml:space="preserve">Values logged</t>
  </si>
  <si>
    <t xml:space="preserve">In model v0.2</t>
  </si>
  <si>
    <t xml:space="preserve">Pending integration</t>
  </si>
  <si>
    <t xml:space="preserve">Benchmark only</t>
  </si>
  <si>
    <t xml:space="preserve">Context only</t>
  </si>
  <si>
    <t xml:space="preserve">Model parameters</t>
  </si>
  <si>
    <t xml:space="preserve">…of which still estimated (tag E)</t>
  </si>
  <si>
    <t xml:space="preserve">Values from papers</t>
  </si>
  <si>
    <t xml:space="preserve">One row per value taken from a source. Status colours: green = in model v0.2, yellow = found, awaiting integration, blue = accuracy benchmark, grey = context only.</t>
  </si>
  <si>
    <t xml:space="preserve">ID</t>
  </si>
  <si>
    <t xml:space="preserve">Category</t>
  </si>
  <si>
    <t xml:space="preserve">Parameter</t>
  </si>
  <si>
    <t xml:space="preserve">Value</t>
  </si>
  <si>
    <t xml:space="preserve">Unit</t>
  </si>
  <si>
    <t xml:space="preserve">Conditions / context</t>
  </si>
  <si>
    <t xml:space="preserve">Source ID</t>
  </si>
  <si>
    <t xml:space="preserve">Source (short)</t>
  </si>
  <si>
    <t xml:space="preserve">Location in source</t>
  </si>
  <si>
    <t xml:space="preserve">Status</t>
  </si>
  <si>
    <t xml:space="preserve">How it's used in the model</t>
  </si>
  <si>
    <t xml:space="preserve">Notes</t>
  </si>
  <si>
    <t xml:space="preserve">V001</t>
  </si>
  <si>
    <t xml:space="preserve">Sweep</t>
  </si>
  <si>
    <t xml:space="preserve">Sweep range</t>
  </si>
  <si>
    <t xml:space="preserve">1 kHz – 3.5 MHz</t>
  </si>
  <si>
    <t xml:space="preserve">Hz</t>
  </si>
  <si>
    <t xml:space="preserve">Swept sine, AD5932 generator</t>
  </si>
  <si>
    <t xml:space="preserve">S1</t>
  </si>
  <si>
    <t xml:space="preserve">Hardware section</t>
  </si>
  <si>
    <t xml:space="preserve">Sweep grid 1 kHz – 3.4835 MHz</t>
  </si>
  <si>
    <t xml:space="preserve">V002</t>
  </si>
  <si>
    <t xml:space="preserve">Frequency step</t>
  </si>
  <si>
    <t xml:space="preserve">kHz</t>
  </si>
  <si>
    <t xml:space="preserve">17.5 kHz</t>
  </si>
  <si>
    <t xml:space="preserve">V003</t>
  </si>
  <si>
    <t xml:space="preserve">Steps per sweep</t>
  </si>
  <si>
    <t xml:space="preserve">count</t>
  </si>
  <si>
    <t xml:space="preserve">200</t>
  </si>
  <si>
    <t xml:space="preserve">V004</t>
  </si>
  <si>
    <t xml:space="preserve">Excitation amplitude</t>
  </si>
  <si>
    <t xml:space="preserve">V p-p</t>
  </si>
  <si>
    <t xml:space="preserve">After amplification</t>
  </si>
  <si>
    <t xml:space="preserve">Results in % of full scale; cancels out</t>
  </si>
  <si>
    <t xml:space="preserve">V005</t>
  </si>
  <si>
    <t xml:space="preserve">Sweep duration</t>
  </si>
  <si>
    <t xml:space="preserve">ms</t>
  </si>
  <si>
    <t xml:space="preserve">~33 Hz update; ~100 Hz if only high band swept</t>
  </si>
  <si>
    <t xml:space="preserve">Basis of 5 frames/s pipeline</t>
  </si>
  <si>
    <t xml:space="preserve">V006</t>
  </si>
  <si>
    <t xml:space="preserve">Circuit</t>
  </si>
  <si>
    <t xml:space="preserve">Bias inductor Lb</t>
  </si>
  <si>
    <t xml:space="preserve">~100</t>
  </si>
  <si>
    <t xml:space="preserve">mH</t>
  </si>
  <si>
    <t xml:space="preserve">Tunes sensitivity at lower frequencies</t>
  </si>
  <si>
    <t xml:space="preserve">Model uses Arduino version 10 mH (S3)</t>
  </si>
  <si>
    <t xml:space="preserve">V007</t>
  </si>
  <si>
    <t xml:space="preserve">Measurement</t>
  </si>
  <si>
    <t xml:space="preserve">Measured quantity</t>
  </si>
  <si>
    <t xml:space="preserve">Amplitude only</t>
  </si>
  <si>
    <t xml:space="preserve">-</t>
  </si>
  <si>
    <t xml:space="preserve">Envelope detector; phase not measured</t>
  </si>
  <si>
    <t xml:space="preserve">Amplitude-only score and classifier</t>
  </si>
  <si>
    <t xml:space="preserve">V008</t>
  </si>
  <si>
    <t xml:space="preserve">ADC resolution</t>
  </si>
  <si>
    <t xml:space="preserve">bit</t>
  </si>
  <si>
    <t xml:space="preserve">Max 200 kHz sampling</t>
  </si>
  <si>
    <t xml:space="preserve">Basis of noise estimate</t>
  </si>
  <si>
    <t xml:space="preserve">V009</t>
  </si>
  <si>
    <t xml:space="preserve">Device</t>
  </si>
  <si>
    <t xml:space="preserve">Sensor board size / mass</t>
  </si>
  <si>
    <t xml:space="preserve">36 × 36 × 5.5 mm, 13.8 g</t>
  </si>
  <si>
    <t xml:space="preserve">V010</t>
  </si>
  <si>
    <t xml:space="preserve">Body</t>
  </si>
  <si>
    <t xml:space="preserve">Trunk internal resistance</t>
  </si>
  <si>
    <t xml:space="preserve">Ω</t>
  </si>
  <si>
    <t xml:space="preserve">Average</t>
  </si>
  <si>
    <t xml:space="preserve">Body-as-sensor section</t>
  </si>
  <si>
    <t xml:space="preserve">+100 Ω added to limb resistance</t>
  </si>
  <si>
    <t xml:space="preserve">V011</t>
  </si>
  <si>
    <t xml:space="preserve">Skin</t>
  </si>
  <si>
    <t xml:space="preserve">Dry intact skin resistance</t>
  </si>
  <si>
    <t xml:space="preserve">~1</t>
  </si>
  <si>
    <t xml:space="preserve">MΩ</t>
  </si>
  <si>
    <t xml:space="preserve">Dry end of hydration range</t>
  </si>
  <si>
    <t xml:space="preserve">Contact area not stated</t>
  </si>
  <si>
    <t xml:space="preserve">V012</t>
  </si>
  <si>
    <t xml:space="preserve">Classifier</t>
  </si>
  <si>
    <t xml:space="preserve">SVM (Weka SMO), polynomial kernel, C = 2.0</t>
  </si>
  <si>
    <t xml:space="preserve">Features: 200 raw + derivatives + minima</t>
  </si>
  <si>
    <t xml:space="preserve">Classification section</t>
  </si>
  <si>
    <t xml:space="preserve">SVM (RBF) and random forest</t>
  </si>
  <si>
    <t xml:space="preserve">V013</t>
  </si>
  <si>
    <t xml:space="preserve">Accuracy</t>
  </si>
  <si>
    <t xml:space="preserve">On-body (wrist-to-wrist), 5 gestures, per user</t>
  </si>
  <si>
    <t xml:space="preserve">%</t>
  </si>
  <si>
    <t xml:space="preserve">SD 11.4%</t>
  </si>
  <si>
    <t xml:space="preserve">Study 4</t>
  </si>
  <si>
    <t xml:space="preserve">Closest to a wrist-worn sensor</t>
  </si>
  <si>
    <t xml:space="preserve">V014</t>
  </si>
  <si>
    <t xml:space="preserve">On-body, 5 gestures, walk-up</t>
  </si>
  <si>
    <t xml:space="preserve">SD 13.8%; no per-user training</t>
  </si>
  <si>
    <t xml:space="preserve">V015</t>
  </si>
  <si>
    <t xml:space="preserve">On-body, 3 gestures, walk-up</t>
  </si>
  <si>
    <t xml:space="preserve">SD 12.5%</t>
  </si>
  <si>
    <t xml:space="preserve">V016</t>
  </si>
  <si>
    <t xml:space="preserve">Mobile mockup (ungrounded), 5 gestures</t>
  </si>
  <si>
    <t xml:space="preserve">SD 6.2%; walk-up 76.1%</t>
  </si>
  <si>
    <t xml:space="preserve">Study 3</t>
  </si>
  <si>
    <t xml:space="preserve">Authors call it the hardest setup</t>
  </si>
  <si>
    <t xml:space="preserve">V017</t>
  </si>
  <si>
    <t xml:space="preserve">Doorknob (grounded), 5 gestures</t>
  </si>
  <si>
    <t xml:space="preserve">SD 5.6%</t>
  </si>
  <si>
    <t xml:space="preserve">Study 1</t>
  </si>
  <si>
    <t xml:space="preserve">V018</t>
  </si>
  <si>
    <t xml:space="preserve">Table (body configuration), 7 gestures</t>
  </si>
  <si>
    <t xml:space="preserve">SD 9.4%</t>
  </si>
  <si>
    <t xml:space="preserve">Study 2</t>
  </si>
  <si>
    <t xml:space="preserve">V019</t>
  </si>
  <si>
    <t xml:space="preserve">Liquid (fish tank), 5 gestures</t>
  </si>
  <si>
    <t xml:space="preserve">SD 0.8%</t>
  </si>
  <si>
    <t xml:space="preserve">Study 5</t>
  </si>
  <si>
    <t xml:space="preserve">Source of the '99%' headline</t>
  </si>
  <si>
    <t xml:space="preserve">V020</t>
  </si>
  <si>
    <t xml:space="preserve">Participants</t>
  </si>
  <si>
    <t xml:space="preserve">people</t>
  </si>
  <si>
    <t xml:space="preserve">9 male, 3 female (studies 1-4)</t>
  </si>
  <si>
    <t xml:space="preserve">Studies</t>
  </si>
  <si>
    <t xml:space="preserve">V021</t>
  </si>
  <si>
    <t xml:space="preserve">Sweep range / steps</t>
  </si>
  <si>
    <t xml:space="preserve">1 kHz – 3.5 MHz, 200 steps</t>
  </si>
  <si>
    <t xml:space="preserve">S2</t>
  </si>
  <si>
    <t xml:space="preserve">Implementation</t>
  </si>
  <si>
    <t xml:space="preserve">Same as S1</t>
  </si>
  <si>
    <t xml:space="preserve">V022</t>
  </si>
  <si>
    <t xml:space="preserve">Safety</t>
  </si>
  <si>
    <t xml:space="preserve">Current through body</t>
  </si>
  <si>
    <t xml:space="preserve">&lt; 0.5</t>
  </si>
  <si>
    <t xml:space="preserve">mA</t>
  </si>
  <si>
    <t xml:space="preserve">6.6 V p-p sine</t>
  </si>
  <si>
    <t xml:space="preserve">Described as safe</t>
  </si>
  <si>
    <t xml:space="preserve">V023</t>
  </si>
  <si>
    <t xml:space="preserve">User differentiation, 8 s training</t>
  </si>
  <si>
    <t xml:space="preserve">SD 5.9%; 11 people, 55 pairings</t>
  </si>
  <si>
    <t xml:space="preserve">Results</t>
  </si>
  <si>
    <t xml:space="preserve">V024</t>
  </si>
  <si>
    <t xml:space="preserve">User differentiation, 0.1 s training</t>
  </si>
  <si>
    <t xml:space="preserve">SD 18.9%</t>
  </si>
  <si>
    <t xml:space="preserve">V025</t>
  </si>
  <si>
    <t xml:space="preserve">Best single frequency (753.5 kHz)</t>
  </si>
  <si>
    <t xml:space="preserve">vs 97.3% for full sweep</t>
  </si>
  <si>
    <t xml:space="preserve">Supports using the full sweep</t>
  </si>
  <si>
    <t xml:space="preserve">V026</t>
  </si>
  <si>
    <t xml:space="preserve">Bone resistivity</t>
  </si>
  <si>
    <t xml:space="preserve">45 → 90</t>
  </si>
  <si>
    <t xml:space="preserve">Ω·m</t>
  </si>
  <si>
    <t xml:space="preserve">1 kHz → 1 MHz (cited from their ref 11)</t>
  </si>
  <si>
    <t xml:space="preserve">Background</t>
  </si>
  <si>
    <t xml:space="preserve">V027</t>
  </si>
  <si>
    <t xml:space="preserve">Drift</t>
  </si>
  <si>
    <t xml:space="preserve">Calibration drift over a day</t>
  </si>
  <si>
    <t xml:space="preserve">Qualitative</t>
  </si>
  <si>
    <t xml:space="preserve">Temperature, humidity, hydration; re-login needed after hours</t>
  </si>
  <si>
    <t xml:space="preserve">Discussion</t>
  </si>
  <si>
    <t xml:space="preserve">Adaptive baseline in pipeline</t>
  </si>
  <si>
    <t xml:space="preserve">No numbers given</t>
  </si>
  <si>
    <t xml:space="preserve">V028</t>
  </si>
  <si>
    <t xml:space="preserve">Series resistor R1</t>
  </si>
  <si>
    <t xml:space="preserve">kΩ</t>
  </si>
  <si>
    <t xml:space="preserve">Arduino SFCS circuit, Fig. 2</t>
  </si>
  <si>
    <t xml:space="preserve">S3</t>
  </si>
  <si>
    <t xml:space="preserve">Fig. 2</t>
  </si>
  <si>
    <t xml:space="preserve">Rs = 10 kΩ</t>
  </si>
  <si>
    <t xml:space="preserve">V029</t>
  </si>
  <si>
    <t xml:space="preserve">Inductor L1</t>
  </si>
  <si>
    <t xml:space="preserve">L = 10 mH ±5%</t>
  </si>
  <si>
    <t xml:space="preserve">V030</t>
  </si>
  <si>
    <t xml:space="preserve">Tank capacitor C2</t>
  </si>
  <si>
    <t xml:space="preserve">pF</t>
  </si>
  <si>
    <t xml:space="preserve">Listed as 0.1 nF</t>
  </si>
  <si>
    <t xml:space="preserve">Ctank = 100 pF ±5%</t>
  </si>
  <si>
    <t xml:space="preserve">V031</t>
  </si>
  <si>
    <t xml:space="preserve">Envelope detector</t>
  </si>
  <si>
    <t xml:space="preserve">1N4148, 10 nF, 1 MΩ, 3.3 kΩ</t>
  </si>
  <si>
    <t xml:space="preserve">V032</t>
  </si>
  <si>
    <t xml:space="preserve">Max frequencies per sweep (Arduino library)</t>
  </si>
  <si>
    <t xml:space="preserve">Text</t>
  </si>
  <si>
    <t xml:space="preserve">V033</t>
  </si>
  <si>
    <t xml:space="preserve">Body capacitance: polymer shoes, linoleum</t>
  </si>
  <si>
    <t xml:space="preserve">160–170</t>
  </si>
  <si>
    <t xml:space="preserve">AC bridge, 1 kHz</t>
  </si>
  <si>
    <t xml:space="preserve">S4</t>
  </si>
  <si>
    <t xml:space="preserve">Table 1</t>
  </si>
  <si>
    <t xml:space="preserve">Street shoes 110–170 pF</t>
  </si>
  <si>
    <t xml:space="preserve">V034</t>
  </si>
  <si>
    <t xml:space="preserve">Body capacitance: polymer shoes, asphalt</t>
  </si>
  <si>
    <t xml:space="preserve">AC bridge</t>
  </si>
  <si>
    <t xml:space="preserve">V035</t>
  </si>
  <si>
    <t xml:space="preserve">Body capacitance: leather shoes, asphalt</t>
  </si>
  <si>
    <t xml:space="preserve">Table 2</t>
  </si>
  <si>
    <t xml:space="preserve">V036</t>
  </si>
  <si>
    <t xml:space="preserve">Body capacitance: barefoot, linoleum</t>
  </si>
  <si>
    <t xml:space="preserve">Barefoot 185–250 pF</t>
  </si>
  <si>
    <t xml:space="preserve">V037</t>
  </si>
  <si>
    <t xml:space="preserve">Body capacitance: barefoot, asphalt</t>
  </si>
  <si>
    <t xml:space="preserve">V038</t>
  </si>
  <si>
    <t xml:space="preserve">Body capacitance: on plastic over metal</t>
  </si>
  <si>
    <t xml:space="preserve">900–2850</t>
  </si>
  <si>
    <t xml:space="preserve">AC bridge; condition partly illegible</t>
  </si>
  <si>
    <t xml:space="preserve">V039</t>
  </si>
  <si>
    <t xml:space="preserve">Body capacitance, charge-sharing method</t>
  </si>
  <si>
    <t xml:space="preserve">200–400</t>
  </si>
  <si>
    <t xml:space="preserve">50–200% above AC values</t>
  </si>
  <si>
    <t xml:space="preserve">Abstract</t>
  </si>
  <si>
    <t xml:space="preserve">AC values used (closer to kHz–MHz)</t>
  </si>
  <si>
    <t xml:space="preserve">V040</t>
  </si>
  <si>
    <t xml:space="preserve">Calculated body-to-walls (cylinder)</t>
  </si>
  <si>
    <t xml:space="preserve">h 1.7 m, r 0.2 m, walls 2 m</t>
  </si>
  <si>
    <t xml:space="preserve">Calculation</t>
  </si>
  <si>
    <t xml:space="preserve">V041</t>
  </si>
  <si>
    <t xml:space="preserve">Calculated feet-to-floor</t>
  </si>
  <si>
    <t xml:space="preserve">70–260</t>
  </si>
  <si>
    <t xml:space="preserve">Soles 200–300 cm², 5–10 mm, εr 4–5</t>
  </si>
  <si>
    <t xml:space="preserve">Feet dominate body capacitance</t>
  </si>
  <si>
    <t xml:space="preserve">V042</t>
  </si>
  <si>
    <t xml:space="preserve">Standard human-body model</t>
  </si>
  <si>
    <t xml:space="preserve">ESD standard</t>
  </si>
  <si>
    <t xml:space="preserve">V043</t>
  </si>
  <si>
    <t xml:space="preserve">Frequency dependence 100 Hz–10 kHz</t>
  </si>
  <si>
    <t xml:space="preserve">None detected</t>
  </si>
  <si>
    <t xml:space="preserve">V044</t>
  </si>
  <si>
    <t xml:space="preserve">Body-to-ground capacitance (measured)</t>
  </si>
  <si>
    <t xml:space="preserve">Total, split 75 + 75 pF in model</t>
  </si>
  <si>
    <t xml:space="preserve">S5</t>
  </si>
  <si>
    <t xml:space="preserve">Table I / text</t>
  </si>
  <si>
    <t xml:space="preserve">Cross-check for C_BE</t>
  </si>
  <si>
    <t xml:space="preserve">V045</t>
  </si>
  <si>
    <t xml:space="preserve">Tissue resistance</t>
  </si>
  <si>
    <t xml:space="preserve">200 (100–400)</t>
  </si>
  <si>
    <t xml:space="preserve">Subcutaneous</t>
  </si>
  <si>
    <t xml:space="preserve">Table I</t>
  </si>
  <si>
    <t xml:space="preserve">Limb 100–400 Ω</t>
  </si>
  <si>
    <t xml:space="preserve">V046</t>
  </si>
  <si>
    <t xml:space="preserve">Skin resistance</t>
  </si>
  <si>
    <t xml:space="preserve">10 k (1 k–100 k)</t>
  </si>
  <si>
    <t xml:space="preserve">4 cm²; depends on moisture</t>
  </si>
  <si>
    <t xml:space="preserve">Superseded by S6/S10 per-area values</t>
  </si>
  <si>
    <t xml:space="preserve">V047</t>
  </si>
  <si>
    <t xml:space="preserve">Skin capacitance</t>
  </si>
  <si>
    <t xml:space="preserve">4 cm², 4 mm, εr ~100</t>
  </si>
  <si>
    <t xml:space="preserve">V048</t>
  </si>
  <si>
    <t xml:space="preserve">Band-to-skin capacitance</t>
  </si>
  <si>
    <t xml:space="preserve">200 (354 calc.)</t>
  </si>
  <si>
    <t xml:space="preserve">4 cm² electrode, 0.01 mm</t>
  </si>
  <si>
    <t xml:space="preserve">V049</t>
  </si>
  <si>
    <t xml:space="preserve">Feet-to-ground capacitance</t>
  </si>
  <si>
    <t xml:space="preserve">100 cm² feet at 1 cm</t>
  </si>
  <si>
    <t xml:space="preserve">V050</t>
  </si>
  <si>
    <t xml:space="preserve">Device ground plane to body</t>
  </si>
  <si>
    <t xml:space="preserve">4 cm² ground plane at 1 cm (354 fF calc.)</t>
  </si>
  <si>
    <t xml:space="preserve">Watch uses own geometry (closer, larger)</t>
  </si>
  <si>
    <t xml:space="preserve">V051</t>
  </si>
  <si>
    <t xml:space="preserve">Return-path capacitance of a wearable</t>
  </si>
  <si>
    <t xml:space="preserve">Experimentally estimated</t>
  </si>
  <si>
    <t xml:space="preserve">1.0–2.0 pF single; 1.5–3.0 pF dual</t>
  </si>
  <si>
    <t xml:space="preserve">S11 suggests lower at the wrist</t>
  </si>
  <si>
    <t xml:space="preserve">V052</t>
  </si>
  <si>
    <t xml:space="preserve">Wearable input load capacitance</t>
  </si>
  <si>
    <t xml:space="preserve">10 MΩ</t>
  </si>
  <si>
    <t xml:space="preserve">V053</t>
  </si>
  <si>
    <t xml:space="preserve">Channel loss, wearable prototype</t>
  </si>
  <si>
    <t xml:space="preserve">−49 to −52</t>
  </si>
  <si>
    <t xml:space="preserve">dB</t>
  </si>
  <si>
    <t xml:space="preserve">Forearm Tx to wrist Rx, 20–25 cm</t>
  </si>
  <si>
    <t xml:space="preserve">V054</t>
  </si>
  <si>
    <t xml:space="preserve">Stratum corneum DC conductance</t>
  </si>
  <si>
    <t xml:space="preserve">µS/cm²</t>
  </si>
  <si>
    <t xml:space="preserve">In situ, palm, hydrogel electrodes</t>
  </si>
  <si>
    <t xml:space="preserve">S6</t>
  </si>
  <si>
    <t xml:space="preserve">Fig. 1 circuit</t>
  </si>
  <si>
    <t xml:space="preserve">G_DC per cm²</t>
  </si>
  <si>
    <t xml:space="preserve">V055</t>
  </si>
  <si>
    <t xml:space="preserve">Polarisation conductance G0</t>
  </si>
  <si>
    <t xml:space="preserve">nS/cm²</t>
  </si>
  <si>
    <t xml:space="preserve">G = G0·f^m</t>
  </si>
  <si>
    <t xml:space="preserve">V056</t>
  </si>
  <si>
    <t xml:space="preserve">Polarisation capacitance C0</t>
  </si>
  <si>
    <t xml:space="preserve">nF/cm²</t>
  </si>
  <si>
    <t xml:space="preserve">C = C0·f^(m−1)</t>
  </si>
  <si>
    <t xml:space="preserve">V057</t>
  </si>
  <si>
    <t xml:space="preserve">CPE exponent m</t>
  </si>
  <si>
    <t xml:space="preserve">Phase angle ≈ 72°</t>
  </si>
  <si>
    <t xml:space="preserve">0.75–0.85</t>
  </si>
  <si>
    <t xml:space="preserve">V058</t>
  </si>
  <si>
    <t xml:space="preserve">R∞</t>
  </si>
  <si>
    <t xml:space="preserve">&lt; 1</t>
  </si>
  <si>
    <t xml:space="preserve">V059</t>
  </si>
  <si>
    <t xml:space="preserve">Clothing</t>
  </si>
  <si>
    <t xml:space="preserve">Cotton</t>
  </si>
  <si>
    <t xml:space="preserve">εr 3.004; 0.23 mm; Cs 58.96 pF</t>
  </si>
  <si>
    <t xml:space="preserve">1 kHz; electrode 510 mm²</t>
  </si>
  <si>
    <t xml:space="preserve">S7</t>
  </si>
  <si>
    <t xml:space="preserve">Table</t>
  </si>
  <si>
    <t xml:space="preserve">εr 1.2–5.1; 0.16–0.58 mm</t>
  </si>
  <si>
    <t xml:space="preserve">V060</t>
  </si>
  <si>
    <t xml:space="preserve">Linen</t>
  </si>
  <si>
    <t xml:space="preserve">εr 4.007; 0.40 mm; Cs 45.22 pF</t>
  </si>
  <si>
    <t xml:space="preserve">1 kHz; 510 mm²</t>
  </si>
  <si>
    <t xml:space="preserve">V061</t>
  </si>
  <si>
    <t xml:space="preserve">Rayon</t>
  </si>
  <si>
    <t xml:space="preserve">εr 5.082; 0.58 mm; Cs 39.56 pF</t>
  </si>
  <si>
    <t xml:space="preserve">V062</t>
  </si>
  <si>
    <t xml:space="preserve">Nylon</t>
  </si>
  <si>
    <t xml:space="preserve">εr 1.222; 0.48 mm; Cs 11.49 pF</t>
  </si>
  <si>
    <t xml:space="preserve">V063</t>
  </si>
  <si>
    <t xml:space="preserve">Polyester</t>
  </si>
  <si>
    <t xml:space="preserve">εr 1.178; 0.16 mm; Cs 33.24 pF</t>
  </si>
  <si>
    <t xml:space="preserve">V064</t>
  </si>
  <si>
    <t xml:space="preserve">PVC-textile</t>
  </si>
  <si>
    <t xml:space="preserve">εr 3.118; 0.24 mm; Cs 58.65 pF</t>
  </si>
  <si>
    <t xml:space="preserve">V065</t>
  </si>
  <si>
    <t xml:space="preserve">Buffer input capacitance</t>
  </si>
  <si>
    <t xml:space="preserve">1 MΩ input</t>
  </si>
  <si>
    <t xml:space="preserve">S8</t>
  </si>
  <si>
    <t xml:space="preserve">Setup</t>
  </si>
  <si>
    <t xml:space="preserve">Sense-node parasitics 2–7 pF</t>
  </si>
  <si>
    <t xml:space="preserve">V066</t>
  </si>
  <si>
    <t xml:space="preserve">Return path vs device size</t>
  </si>
  <si>
    <t xml:space="preserve">Proportional to ground-plane size (≈ self-capacitance)</t>
  </si>
  <si>
    <t xml:space="preserve">Self-capacitance check 8·ε₀·r</t>
  </si>
  <si>
    <t xml:space="preserve">V067</t>
  </si>
  <si>
    <t xml:space="preserve">Typical body capacitance</t>
  </si>
  <si>
    <t xml:space="preserve">Several cited studies</t>
  </si>
  <si>
    <t xml:space="preserve">S9</t>
  </si>
  <si>
    <t xml:space="preserve">Section 3.2</t>
  </si>
  <si>
    <t xml:space="preserve">V068</t>
  </si>
  <si>
    <t xml:space="preserve">Main source of body-capacitance variation</t>
  </si>
  <si>
    <t xml:space="preserve">Feet actions</t>
  </si>
  <si>
    <t xml:space="preserve">Section 3.2.1</t>
  </si>
  <si>
    <t xml:space="preserve">Walking drift on C_BE</t>
  </si>
  <si>
    <t xml:space="preserve">V069</t>
  </si>
  <si>
    <t xml:space="preserve">|Z| at 10 Hz, stainless steel, in vivo</t>
  </si>
  <si>
    <t xml:space="preserve">MΩ·cm²</t>
  </si>
  <si>
    <t xml:space="preserve">Thigh, 10 people, dry electrode</t>
  </si>
  <si>
    <t xml:space="preserve">S10</t>
  </si>
  <si>
    <t xml:space="preserve">Matches watch back plate</t>
  </si>
  <si>
    <t xml:space="preserve">V070</t>
  </si>
  <si>
    <t xml:space="preserve">|Z| at 10 Hz, titanium, in vivo</t>
  </si>
  <si>
    <t xml:space="preserve">Thigh, dry electrode</t>
  </si>
  <si>
    <t xml:space="preserve">V071</t>
  </si>
  <si>
    <t xml:space="preserve">Stratum corneum resistance Rsc, dry</t>
  </si>
  <si>
    <t xml:space="preserve">Phantom fit</t>
  </si>
  <si>
    <t xml:space="preserve">V072</t>
  </si>
  <si>
    <t xml:space="preserve">Stratum corneum resistance Rsc, hydrated</t>
  </si>
  <si>
    <t xml:space="preserve">V073</t>
  </si>
  <si>
    <t xml:space="preserve">Stratum corneum capacitance Csc, dry</t>
  </si>
  <si>
    <t xml:space="preserve">V074</t>
  </si>
  <si>
    <t xml:space="preserve">Stratum corneum capacitance Csc, hydrated</t>
  </si>
  <si>
    <t xml:space="preserve">V075</t>
  </si>
  <si>
    <t xml:space="preserve">Contact capacitance Cc, titanium / steel (dry)</t>
  </si>
  <si>
    <t xml:space="preserve">267 / 114</t>
  </si>
  <si>
    <t xml:space="preserve">Titanium gives better contact</t>
  </si>
  <si>
    <t xml:space="preserve">V076</t>
  </si>
  <si>
    <t xml:space="preserve">CPE exponents</t>
  </si>
  <si>
    <t xml:space="preserve">α ≈ 0.9 (SC); β ≈ 0.5–0.6 (contact)</t>
  </si>
  <si>
    <t xml:space="preserve">V077</t>
  </si>
  <si>
    <t xml:space="preserve">Hydration effect on impedance</t>
  </si>
  <si>
    <t xml:space="preserve">~10× lower when hydrated</t>
  </si>
  <si>
    <t xml:space="preserve">V078</t>
  </si>
  <si>
    <t xml:space="preserve">Frequency range measured</t>
  </si>
  <si>
    <t xml:space="preserve">0.1 Hz – 100 kHz</t>
  </si>
  <si>
    <t xml:space="preserve">Methods</t>
  </si>
  <si>
    <t xml:space="preserve">Below most of our sweep</t>
  </si>
  <si>
    <t xml:space="preserve">V079</t>
  </si>
  <si>
    <t xml:space="preserve">Return-path factor x at the wrist</t>
  </si>
  <si>
    <t xml:space="preserve">Fraction of free-space self-capacitance</t>
  </si>
  <si>
    <t xml:space="preserve">S11</t>
  </si>
  <si>
    <t xml:space="preserve">Fig. 8 table</t>
  </si>
  <si>
    <t xml:space="preserve">Highest of the measured locations</t>
  </si>
  <si>
    <t xml:space="preserve">V080</t>
  </si>
  <si>
    <t xml:space="preserve">Return-path factor x at the elbow</t>
  </si>
  <si>
    <t xml:space="preserve">V081</t>
  </si>
  <si>
    <t xml:space="preserve">Return-path factor x at the shoulder</t>
  </si>
  <si>
    <t xml:space="preserve">V082</t>
  </si>
  <si>
    <t xml:space="preserve">Return-path factor x at the torso</t>
  </si>
  <si>
    <t xml:space="preserve">V083</t>
  </si>
  <si>
    <t xml:space="preserve">Free-space return path of a small device</t>
  </si>
  <si>
    <t xml:space="preserve">≈ 1</t>
  </si>
  <si>
    <t xml:space="preserve">Device radius a few cm; C = 8·ε₀·a</t>
  </si>
  <si>
    <t xml:space="preserve">Section III-A</t>
  </si>
  <si>
    <t xml:space="preserve">V084</t>
  </si>
  <si>
    <t xml:space="preserve">Receiver return path</t>
  </si>
  <si>
    <t xml:space="preserve">Section IV-A</t>
  </si>
  <si>
    <t xml:space="preserve">V085</t>
  </si>
  <si>
    <t xml:space="preserve">Tissue / skin resistance (order)</t>
  </si>
  <si>
    <t xml:space="preserve">~100 Ω / ~10 kΩ</t>
  </si>
  <si>
    <t xml:space="preserve">V086</t>
  </si>
  <si>
    <t xml:space="preserve">Bystander</t>
  </si>
  <si>
    <t xml:space="preserve">Body-to-body capacitance at 1 m</t>
  </si>
  <si>
    <t xml:space="preserve">Electrostatic FEM</t>
  </si>
  <si>
    <t xml:space="preserve">S12</t>
  </si>
  <si>
    <t xml:space="preserve">Fig. 7(a) / text</t>
  </si>
  <si>
    <t xml:space="preserve">Model now uses 2–15 pF at 0.2–0.5 m: too low</t>
  </si>
  <si>
    <t xml:space="preserve">V087</t>
  </si>
  <si>
    <t xml:space="preserve">Body-to-body capacitance at 5 m</t>
  </si>
  <si>
    <t xml:space="preserve">V088</t>
  </si>
  <si>
    <t xml:space="preserve">Body-to-ground capacitance</t>
  </si>
  <si>
    <t xml:space="preserve">Fixed in model</t>
  </si>
  <si>
    <t xml:space="preserve">Agrees with S4/S5</t>
  </si>
  <si>
    <t xml:space="preserve">V089</t>
  </si>
  <si>
    <t xml:space="preserve">Anatomy</t>
  </si>
  <si>
    <t xml:space="preserve">Hand area (palmar, incl. fingers), men</t>
  </si>
  <si>
    <t xml:space="preserve">146.5 ± 15.1</t>
  </si>
  <si>
    <t xml:space="preserve">cm²</t>
  </si>
  <si>
    <t xml:space="preserve">Indian adults 18–60, n = 150</t>
  </si>
  <si>
    <t xml:space="preserve">S13</t>
  </si>
  <si>
    <t xml:space="preserve">Supports 40–80 cm² grab contact</t>
  </si>
  <si>
    <t xml:space="preserve">V090</t>
  </si>
  <si>
    <t xml:space="preserve">Hand area (palmar, incl. fingers), women</t>
  </si>
  <si>
    <t xml:space="preserve">132.4 ± 14.1</t>
  </si>
  <si>
    <t xml:space="preserve">n = 150</t>
  </si>
  <si>
    <t xml:space="preserve">V091</t>
  </si>
  <si>
    <t xml:space="preserve">Palm area, men</t>
  </si>
  <si>
    <t xml:space="preserve">77.9 ± 10.3</t>
  </si>
  <si>
    <t xml:space="preserve">V092</t>
  </si>
  <si>
    <t xml:space="preserve">Palm area, women</t>
  </si>
  <si>
    <t xml:space="preserve">73.7 ± 9.1</t>
  </si>
  <si>
    <t xml:space="preserve">V093</t>
  </si>
  <si>
    <t xml:space="preserve">Hand as % of body surface area</t>
  </si>
  <si>
    <t xml:space="preserve">0.92</t>
  </si>
  <si>
    <t xml:space="preserve">Men and women</t>
  </si>
  <si>
    <t xml:space="preserve">V094</t>
  </si>
  <si>
    <t xml:space="preserve">Shield</t>
  </si>
  <si>
    <t xml:space="preserve">Unshielded ground parasitic</t>
  </si>
  <si>
    <t xml:space="preserve">&gt; 100 (can be)</t>
  </si>
  <si>
    <t xml:space="preserve">S14</t>
  </si>
  <si>
    <t xml:space="preserve">Fig. 4</t>
  </si>
  <si>
    <t xml:space="preserve">V095</t>
  </si>
  <si>
    <t xml:space="preserve">Rejection of object behind sensor (3.6 cm)</t>
  </si>
  <si>
    <t xml:space="preserve">50.9 / 61.1 / 76.3</t>
  </si>
  <si>
    <t xml:space="preserve">% reduction</t>
  </si>
  <si>
    <t xml:space="preserve">Same-size shield / 200% shield / ring + shield</t>
  </si>
  <si>
    <t xml:space="preserve">Residual 24–49%</t>
  </si>
  <si>
    <t xml:space="preserve">V096</t>
  </si>
  <si>
    <t xml:space="preserve">Rejection of object at side (1 cm)</t>
  </si>
  <si>
    <t xml:space="preserve">37.2 / 70.6 / 77.0</t>
  </si>
  <si>
    <t xml:space="preserve">Same three configurations</t>
  </si>
  <si>
    <t xml:space="preserve">Residual 23–63%</t>
  </si>
  <si>
    <t xml:space="preserve">V097</t>
  </si>
  <si>
    <t xml:space="preserve">Rejection of object at side (5 cm)</t>
  </si>
  <si>
    <t xml:space="preserve">34.2 / 64.6 / 75.0</t>
  </si>
  <si>
    <t xml:space="preserve">V098</t>
  </si>
  <si>
    <t xml:space="preserve">Loss of wanted sensitivity (top, 1 cm)</t>
  </si>
  <si>
    <t xml:space="preserve">23.6 / 26.5 / 39.3</t>
  </si>
  <si>
    <t xml:space="preserve">Shield also costs some signal</t>
  </si>
  <si>
    <t xml:space="preserve">V099</t>
  </si>
  <si>
    <t xml:space="preserve">ESP32 built-in ADC fluctuation</t>
  </si>
  <si>
    <t xml:space="preserve">~21.8</t>
  </si>
  <si>
    <t xml:space="preserve">mV</t>
  </si>
  <si>
    <t xml:space="preserve">Unclear if std. dev. or p-p; ≈27 LSB at 3.3 V</t>
  </si>
  <si>
    <t xml:space="preserve">S15</t>
  </si>
  <si>
    <t xml:space="preserve">Weak source</t>
  </si>
  <si>
    <t xml:space="preserve">V100</t>
  </si>
  <si>
    <t xml:space="preserve">Arduino ADC fluctuation</t>
  </si>
  <si>
    <t xml:space="preserve">~4.2</t>
  </si>
  <si>
    <t xml:space="preserve">V101</t>
  </si>
  <si>
    <t xml:space="preserve">ADS1115 fluctuation</t>
  </si>
  <si>
    <t xml:space="preserve">~2</t>
  </si>
  <si>
    <t xml:space="preserve">External ADC option</t>
  </si>
  <si>
    <t xml:space="preserve">V102</t>
  </si>
  <si>
    <t xml:space="preserve">ESP32 calibrated error</t>
  </si>
  <si>
    <t xml:space="preserve">&lt; 30</t>
  </si>
  <si>
    <t xml:space="preserve">S16</t>
  </si>
  <si>
    <t xml:space="preserve">Accuracy, not noise</t>
  </si>
  <si>
    <t xml:space="preserve">V103</t>
  </si>
  <si>
    <t xml:space="preserve">ESP32-S3 calibrated error</t>
  </si>
  <si>
    <t xml:space="preserve">−30 to 0</t>
  </si>
  <si>
    <t xml:space="preserve">V104</t>
  </si>
  <si>
    <t xml:space="preserve">ESP32 / ESP32-S3 DNL, INL</t>
  </si>
  <si>
    <t xml:space="preserve">±7, ±12 / ±4, ±8</t>
  </si>
  <si>
    <t xml:space="preserve">LSB</t>
  </si>
  <si>
    <t xml:space="preserve">Datasheet values</t>
  </si>
  <si>
    <t xml:space="preserve">V105</t>
  </si>
  <si>
    <t xml:space="preserve">ESP32 ADC sample rate</t>
  </si>
  <si>
    <t xml:space="preserve">200 k (RTC) / 2 M (DIG)</t>
  </si>
  <si>
    <t xml:space="preserve">samples/s</t>
  </si>
  <si>
    <t xml:space="preserve">V106</t>
  </si>
  <si>
    <t xml:space="preserve">Noise advice</t>
  </si>
  <si>
    <t xml:space="preserve">100 nF on ADC input; multisampling</t>
  </si>
  <si>
    <t xml:space="preserve">No figures given</t>
  </si>
  <si>
    <t xml:space="preserve">Full reference for every source ID used in this workbook and in sg_model.py.</t>
  </si>
  <si>
    <t xml:space="preserve">Short name</t>
  </si>
  <si>
    <t xml:space="preserve">Authors</t>
  </si>
  <si>
    <t xml:space="preserve">Title</t>
  </si>
  <si>
    <t xml:space="preserve">Venue</t>
  </si>
  <si>
    <t xml:space="preserve">Year</t>
  </si>
  <si>
    <t xml:space="preserve">Type</t>
  </si>
  <si>
    <t xml:space="preserve">Proposal ref</t>
  </si>
  <si>
    <t xml:space="preserve">Link</t>
  </si>
  <si>
    <t xml:space="preserve">Accessed</t>
  </si>
  <si>
    <t xml:space="preserve">Sato et al. 2012 (Touché)</t>
  </si>
  <si>
    <t xml:space="preserve">M. Sato, I. Poupyrev, C. Harrison</t>
  </si>
  <si>
    <t xml:space="preserve">Touché: Enhancing Touch Interaction on Humans, Screens, Liquids, and Everyday Objects</t>
  </si>
  <si>
    <t xml:space="preserve">Proc. ACM CHI 2012</t>
  </si>
  <si>
    <t xml:space="preserve">Peer-reviewed conference</t>
  </si>
  <si>
    <t xml:space="preserve">Ref 5</t>
  </si>
  <si>
    <t xml:space="preserve">https://la.disneyresearch.com/wp-content/uploads/touchechi20121.pdf</t>
  </si>
  <si>
    <t xml:space="preserve">Core method of the proposal</t>
  </si>
  <si>
    <t xml:space="preserve">Harrison et al. 2012 (Cap. Fingerprinting)</t>
  </si>
  <si>
    <t xml:space="preserve">C. Harrison, M. Sato, I. Poupyrev</t>
  </si>
  <si>
    <t xml:space="preserve">Capacitive Fingerprinting: Exploring User Differentiation by Sensing Electrical Properties of the Human Body</t>
  </si>
  <si>
    <t xml:space="preserve">Proc. ACM UIST 2012</t>
  </si>
  <si>
    <t xml:space="preserve">Ref 6</t>
  </si>
  <si>
    <t xml:space="preserve">https://la.disneyresearch.com/wp-content/uploads/capacitive-fingerprintingcameraready1.pdf</t>
  </si>
  <si>
    <t xml:space="preserve">Honigman et al. 2014 (Arduino Touché)</t>
  </si>
  <si>
    <t xml:space="preserve">N. Honigman et al.</t>
  </si>
  <si>
    <t xml:space="preserve">Techniques in Swept Frequency Capacitive Sensing: An Open Source Approach</t>
  </si>
  <si>
    <t xml:space="preserve">Proc. NIME 2014</t>
  </si>
  <si>
    <t xml:space="preserve">https://nime.org/proceedings/2014/nime2014_515.pdf</t>
  </si>
  <si>
    <t xml:space="preserve">Arduino Touché circuit; component list also at https://github.com/sofian/touche</t>
  </si>
  <si>
    <t xml:space="preserve">Jonassen 1998</t>
  </si>
  <si>
    <t xml:space="preserve">N. M. Jonassen</t>
  </si>
  <si>
    <t xml:space="preserve">Human Body Capacitance: Static or Dynamic Concept?</t>
  </si>
  <si>
    <t xml:space="preserve">EOS/ESD Symposium Proceedings, pp. 111-117</t>
  </si>
  <si>
    <t xml:space="preserve">https://backend.orbit.dtu.dk/ws/files/4363898/Jonassen.pdf</t>
  </si>
  <si>
    <t xml:space="preserve">Scanned text; some table cells hard to read</t>
  </si>
  <si>
    <t xml:space="preserve">Maity et al. 2019</t>
  </si>
  <si>
    <t xml:space="preserve">S. Maity, M. He, M. Nath, D. Das, B. Chatterjee, S. Sen</t>
  </si>
  <si>
    <t xml:space="preserve">Bio-Physical Modeling, Characterization and Optimization of Electro-Quasistatic Human Body Communication</t>
  </si>
  <si>
    <t xml:space="preserve">IEEE Transactions on Biomedical Engineering</t>
  </si>
  <si>
    <t xml:space="preserve">Peer-reviewed journal</t>
  </si>
  <si>
    <t xml:space="preserve">https://arxiv.org/pdf/1805.05200.pdf</t>
  </si>
  <si>
    <t xml:space="preserve">arXiv version read</t>
  </si>
  <si>
    <t xml:space="preserve">Martinsen et al. 1997</t>
  </si>
  <si>
    <t xml:space="preserve">Ø. G. Martinsen, S. Grimnes, O. Sveen</t>
  </si>
  <si>
    <t xml:space="preserve">Dielectric properties of some keratinised tissues. Part 1: Stratum corneum and nail in situ</t>
  </si>
  <si>
    <t xml:space="preserve">Medical &amp; Biological Engineering &amp; Computing 35, 172-176</t>
  </si>
  <si>
    <t xml:space="preserve">https://mn.uio.no/fysikk/english/research/projects/bioimpedance/publications/papers/blemme.pdf</t>
  </si>
  <si>
    <t xml:space="preserve">Ng &amp; Reaz 2017</t>
  </si>
  <si>
    <t xml:space="preserve">C. L. Ng, M. B. I. Reaz</t>
  </si>
  <si>
    <t xml:space="preserve">Characterization of Textile-Insulated Capacitive Biosensors</t>
  </si>
  <si>
    <t xml:space="preserve">Sensors 17(3), 574</t>
  </si>
  <si>
    <t xml:space="preserve">https://doi.org/10.3390/s17030574</t>
  </si>
  <si>
    <t xml:space="preserve">Avlani et al. 2020</t>
  </si>
  <si>
    <t xml:space="preserve">S. Avlani, M. Nath, S. Maity, S. Sen</t>
  </si>
  <si>
    <t xml:space="preserve">A 100KHz-1GHz Termination-dependent Human Body Communication Channel Measurement using Miniaturized Wearable Devices</t>
  </si>
  <si>
    <t xml:space="preserve">Proc. DATE 2020, pp. 651-653</t>
  </si>
  <si>
    <t xml:space="preserve">https://par.nsf.gov/servlets/purl/10249175</t>
  </si>
  <si>
    <t xml:space="preserve">Capacitive sensing survey 2024</t>
  </si>
  <si>
    <t xml:space="preserve">(survey)</t>
  </si>
  <si>
    <t xml:space="preserve">Body-Area Capacitive or Electric Field Sensing for Human Activity Recognition and Human-Computer Interaction: A Comprehensive Survey</t>
  </si>
  <si>
    <t xml:space="preserve">arXiv:2401.06000</t>
  </si>
  <si>
    <t xml:space="preserve">Preprint (survey)</t>
  </si>
  <si>
    <t xml:space="preserve">https://arxiv.org/abs/2401.06000</t>
  </si>
  <si>
    <t xml:space="preserve">Authors not recorded in this log</t>
  </si>
  <si>
    <t xml:space="preserve">Goyal et al. 2022</t>
  </si>
  <si>
    <t xml:space="preserve">K. Goyal, D. A. Borkholder, S. W. Day</t>
  </si>
  <si>
    <t xml:space="preserve">Dependence of Skin-Electrode Contact Impedance on Material and Skin Hydration</t>
  </si>
  <si>
    <t xml:space="preserve">Sensors 22(21), 8510</t>
  </si>
  <si>
    <t xml:space="preserve">https://www.mdpi.com/1424-8220/22/21/8510</t>
  </si>
  <si>
    <t xml:space="preserve">PMC9656728</t>
  </si>
  <si>
    <t xml:space="preserve">Datta et al. 2020</t>
  </si>
  <si>
    <t xml:space="preserve">A. Datta, M. Nath, D. Yang, S. Sen</t>
  </si>
  <si>
    <t xml:space="preserve">Advanced Biophysical Model to Capture Channel Variability for EQS Capacitive HBC</t>
  </si>
  <si>
    <t xml:space="preserve">arXiv:2010.15339</t>
  </si>
  <si>
    <t xml:space="preserve">Preprint</t>
  </si>
  <si>
    <t xml:space="preserve">https://arxiv.org/pdf/2010.15339</t>
  </si>
  <si>
    <t xml:space="preserve">Nath et al. 2021</t>
  </si>
  <si>
    <t xml:space="preserve">M. Nath et al. (S. Sen group, Purdue)</t>
  </si>
  <si>
    <t xml:space="preserve">Inter-Body Coupling in Electro-Quasistatic Human Body Communication: Theory and Analysis of Security and Interference Properties</t>
  </si>
  <si>
    <t xml:space="preserve">Scientific Reports</t>
  </si>
  <si>
    <t xml:space="preserve">https://arxiv.org/pdf/2003.13329</t>
  </si>
  <si>
    <t xml:space="preserve">arXiv version read; full author list not recorded</t>
  </si>
  <si>
    <t xml:space="preserve">Agarwal &amp; Sahu 2010</t>
  </si>
  <si>
    <t xml:space="preserve">P. Agarwal, S. Sahu</t>
  </si>
  <si>
    <t xml:space="preserve">Determination of hand and palm area as a ratio of body surface area in Indian population</t>
  </si>
  <si>
    <t xml:space="preserve">Indian Journal of Plastic Surgery 43(1)</t>
  </si>
  <si>
    <t xml:space="preserve">https://www.thieme-connect.de/products/ejournals/pdf/10.1055/s-0039-1699403.pdf</t>
  </si>
  <si>
    <t xml:space="preserve">TI SNOA926 2015</t>
  </si>
  <si>
    <t xml:space="preserve">Texas Instruments</t>
  </si>
  <si>
    <t xml:space="preserve">Capacitive Sensing: Ins and Outs of Active Shielding (SNOA926A)</t>
  </si>
  <si>
    <t xml:space="preserve">Application report</t>
  </si>
  <si>
    <t xml:space="preserve">Manufacturer app note</t>
  </si>
  <si>
    <t xml:space="preserve">https://www.ti.com/lit/pdf/SNOA926</t>
  </si>
  <si>
    <t xml:space="preserve">Table 1 headers misaligned in source; reference column inferred</t>
  </si>
  <si>
    <t xml:space="preserve">Hackaday ADC test</t>
  </si>
  <si>
    <t xml:space="preserve">Hackaday.io project</t>
  </si>
  <si>
    <t xml:space="preserve">ADC performance: Arduino vs ESP32 vs ADS1115</t>
  </si>
  <si>
    <t xml:space="preserve">Hackaday.io</t>
  </si>
  <si>
    <t xml:space="preserve">n.d.</t>
  </si>
  <si>
    <t xml:space="preserve">Hobby measurement (weak)</t>
  </si>
  <si>
    <t xml:space="preserve">https://hackaday.io/project/205380-adc-performance-arduino-vs-esp32-vs-ads1115</t>
  </si>
  <si>
    <t xml:space="preserve">Doesn't state whether figures are std. dev. or peak-to-peak</t>
  </si>
  <si>
    <t xml:space="preserve">Espressif ADC blog 2025</t>
  </si>
  <si>
    <t xml:space="preserve">Espressif Systems</t>
  </si>
  <si>
    <t xml:space="preserve">ADC performance (developer blog)</t>
  </si>
  <si>
    <t xml:space="preserve">developer.espressif.com</t>
  </si>
  <si>
    <t xml:space="preserve">Manufacturer documentation</t>
  </si>
  <si>
    <t xml:space="preserve">https://developer.espressif.com/blog/2025/08/adc-performance/</t>
  </si>
  <si>
    <t xml:space="preserve">Parameters used by simulation v0.2</t>
  </si>
  <si>
    <t xml:space="preserve">Tag: S = published source, G = geometry calculation, D = our design choice, E = estimate (no source yet).</t>
  </si>
  <si>
    <t xml:space="preserve">Symbol in sg_model.py</t>
  </si>
  <si>
    <t xml:space="preserve">Value used</t>
  </si>
  <si>
    <t xml:space="preserve">Tag</t>
  </si>
  <si>
    <t xml:space="preserve">Source IDs</t>
  </si>
  <si>
    <t xml:space="preserve">Note</t>
  </si>
  <si>
    <t xml:space="preserve">Sweep grid</t>
  </si>
  <si>
    <t xml:space="preserve">FREQS</t>
  </si>
  <si>
    <t xml:space="preserve">1 kHz + 17.5 kHz·k, k = 0..199</t>
  </si>
  <si>
    <t xml:space="preserve">S</t>
  </si>
  <si>
    <t xml:space="preserve">S1, S2</t>
  </si>
  <si>
    <t xml:space="preserve">Series resistor</t>
  </si>
  <si>
    <t xml:space="preserve">Rs</t>
  </si>
  <si>
    <t xml:space="preserve">10</t>
  </si>
  <si>
    <t xml:space="preserve">Inductor</t>
  </si>
  <si>
    <t xml:space="preserve">L</t>
  </si>
  <si>
    <t xml:space="preserve">10 ±5%</t>
  </si>
  <si>
    <t xml:space="preserve">Tank capacitor + node parasitics</t>
  </si>
  <si>
    <t xml:space="preserve">Ctank</t>
  </si>
  <si>
    <t xml:space="preserve">100 ±5% + 2–7</t>
  </si>
  <si>
    <t xml:space="preserve">S/E</t>
  </si>
  <si>
    <t xml:space="preserve">S3, S8</t>
  </si>
  <si>
    <t xml:space="preserve">Parasitics part estimated</t>
  </si>
  <si>
    <t xml:space="preserve">Measurement noise</t>
  </si>
  <si>
    <t xml:space="preserve">NOISE</t>
  </si>
  <si>
    <t xml:space="preserve">0.05</t>
  </si>
  <si>
    <t xml:space="preserve">% of full scale</t>
  </si>
  <si>
    <t xml:space="preserve">E</t>
  </si>
  <si>
    <t xml:space="preserve">S1 (12-bit)</t>
  </si>
  <si>
    <t xml:space="preserve">S15 suggests up to ~3× higher with ESP32 ADC</t>
  </si>
  <si>
    <t xml:space="preserve">Inner electrode area</t>
  </si>
  <si>
    <t xml:space="preserve">el_area</t>
  </si>
  <si>
    <t xml:space="preserve">2–4</t>
  </si>
  <si>
    <t xml:space="preserve">D</t>
  </si>
  <si>
    <t xml:space="preserve">Design choice</t>
  </si>
  <si>
    <t xml:space="preserve">Skin per cm²</t>
  </si>
  <si>
    <t xml:space="preserve">y_skin</t>
  </si>
  <si>
    <t xml:space="preserve">G_DC 4.4 µS, G0 100 nS, C0 50 nF, m 0.75–0.85</t>
  </si>
  <si>
    <t xml:space="preserve">per cm²</t>
  </si>
  <si>
    <t xml:space="preserve">S10 pending</t>
  </si>
  <si>
    <t xml:space="preserve">Skin hydration factor</t>
  </si>
  <si>
    <t xml:space="preserve">hyd</t>
  </si>
  <si>
    <t xml:space="preserve">0.1–3</t>
  </si>
  <si>
    <t xml:space="preserve">×</t>
  </si>
  <si>
    <t xml:space="preserve">S1 (dry end)</t>
  </si>
  <si>
    <t xml:space="preserve">Wrist-to-trunk tissue</t>
  </si>
  <si>
    <t xml:space="preserve">Rbody</t>
  </si>
  <si>
    <t xml:space="preserve">100–400 + 100</t>
  </si>
  <si>
    <t xml:space="preserve">S5, S1</t>
  </si>
  <si>
    <t xml:space="preserve">Watch ground to wrist (PCB)</t>
  </si>
  <si>
    <t xml:space="preserve">C_GB</t>
  </si>
  <si>
    <t xml:space="preserve">3–13</t>
  </si>
  <si>
    <t xml:space="preserve">G</t>
  </si>
  <si>
    <t xml:space="preserve">8–12 cm², 2–4 mm, εr 1.5–2.5</t>
  </si>
  <si>
    <t xml:space="preserve">Outer strap electrode to wrist</t>
  </si>
  <si>
    <t xml:space="preserve">C_GB (dual)</t>
  </si>
  <si>
    <t xml:space="preserve">+15–60</t>
  </si>
  <si>
    <t xml:space="preserve">20–30 cm², 1.5–3 mm, εr 2.5–3.5</t>
  </si>
  <si>
    <t xml:space="preserve">Driven-shield residual</t>
  </si>
  <si>
    <t xml:space="preserve">2–10</t>
  </si>
  <si>
    <t xml:space="preserve">S14 suggests 23–66%</t>
  </si>
  <si>
    <t xml:space="preserve">Body to surroundings, street shoes</t>
  </si>
  <si>
    <t xml:space="preserve">C_BE</t>
  </si>
  <si>
    <t xml:space="preserve">110–170</t>
  </si>
  <si>
    <t xml:space="preserve">S4, S5</t>
  </si>
  <si>
    <t xml:space="preserve">Body to surroundings, barefoot</t>
  </si>
  <si>
    <t xml:space="preserve">185–250</t>
  </si>
  <si>
    <t xml:space="preserve">Body to surroundings, sandals</t>
  </si>
  <si>
    <t xml:space="preserve">130–210</t>
  </si>
  <si>
    <t xml:space="preserve">Interpolated</t>
  </si>
  <si>
    <t xml:space="preserve">Body to surroundings, car seat</t>
  </si>
  <si>
    <t xml:space="preserve">150–300</t>
  </si>
  <si>
    <t xml:space="preserve">Walking change in C_BE</t>
  </si>
  <si>
    <t xml:space="preserve">±5</t>
  </si>
  <si>
    <t xml:space="preserve">S4, S9</t>
  </si>
  <si>
    <t xml:space="preserve">Direction sourced, size estimated</t>
  </si>
  <si>
    <t xml:space="preserve">Watch return path, single electrode</t>
  </si>
  <si>
    <t xml:space="preserve">C_GE</t>
  </si>
  <si>
    <t xml:space="preserve">1.0–2.0</t>
  </si>
  <si>
    <t xml:space="preserve">S/G</t>
  </si>
  <si>
    <t xml:space="preserve">S5, S8</t>
  </si>
  <si>
    <t xml:space="preserve">S11 suggests ~0.45 pF at wrist</t>
  </si>
  <si>
    <t xml:space="preserve">Watch return path, with outer electrode</t>
  </si>
  <si>
    <t xml:space="preserve">1.5–3.0</t>
  </si>
  <si>
    <t xml:space="preserve">Car body factor on return path</t>
  </si>
  <si>
    <t xml:space="preserve">×1.3–2</t>
  </si>
  <si>
    <t xml:space="preserve">Second person to surroundings</t>
  </si>
  <si>
    <t xml:space="preserve">C_AE</t>
  </si>
  <si>
    <t xml:space="preserve">110–170 (+40–130 in car)</t>
  </si>
  <si>
    <t xml:space="preserve">Hand contact area (grab)</t>
  </si>
  <si>
    <t xml:space="preserve">area</t>
  </si>
  <si>
    <t xml:space="preserve">40–80</t>
  </si>
  <si>
    <t xml:space="preserve">S13 pending (hand 132–147 cm²)</t>
  </si>
  <si>
    <t xml:space="preserve">Clothing permittivity</t>
  </si>
  <si>
    <t xml:space="preserve">er</t>
  </si>
  <si>
    <t xml:space="preserve">1.2–5.1</t>
  </si>
  <si>
    <t xml:space="preserve">Clothing thickness</t>
  </si>
  <si>
    <t xml:space="preserve">t</t>
  </si>
  <si>
    <t xml:space="preserve">0.16–0.58 per layer, 1–2 layers</t>
  </si>
  <si>
    <t xml:space="preserve">mm</t>
  </si>
  <si>
    <t xml:space="preserve">Outer-electrode coating</t>
  </si>
  <si>
    <t xml:space="preserve">coat</t>
  </si>
  <si>
    <t xml:space="preserve">25–100 µm, εr 3</t>
  </si>
  <si>
    <t xml:space="preserve">His palm on outer electrode</t>
  </si>
  <si>
    <t xml:space="preserve">Z_A0</t>
  </si>
  <si>
    <t xml:space="preserve">skin 10–20 cm² + coating</t>
  </si>
  <si>
    <t xml:space="preserve">His hand near strap (forearm)</t>
  </si>
  <si>
    <t xml:space="preserve">0.5–3</t>
  </si>
  <si>
    <t xml:space="preserve">His body 0.3–0.6 m from watch</t>
  </si>
  <si>
    <t xml:space="preserve">0.03–0.3</t>
  </si>
  <si>
    <t xml:space="preserve">Bystander body-to-body</t>
  </si>
  <si>
    <t xml:space="preserve">Z_BA</t>
  </si>
  <si>
    <t xml:space="preserve">2–15</t>
  </si>
  <si>
    <t xml:space="preserve">S12 suggests &gt; 21 pF</t>
  </si>
  <si>
    <t xml:space="preserve">Own hand: both arms</t>
  </si>
  <si>
    <t xml:space="preserve">r_arms</t>
  </si>
  <si>
    <t xml:space="preserve">2 × 100–400</t>
  </si>
  <si>
    <t xml:space="preserve">Railing grip area</t>
  </si>
  <si>
    <t xml:space="preserve">20–40</t>
  </si>
  <si>
    <t xml:space="preserve">Strap on metal pole</t>
  </si>
  <si>
    <t xml:space="preserve">coating over 2–10 cm²</t>
  </si>
  <si>
    <t xml:space="preserve">Phone self-capacitance</t>
  </si>
  <si>
    <t xml:space="preserve">4–12</t>
  </si>
  <si>
    <t xml:space="preserve">G/E</t>
  </si>
  <si>
    <t xml:space="preserve">8·ε₀·r, r 6–10 cm</t>
  </si>
  <si>
    <t xml:space="preserve">Wooden table, bag</t>
  </si>
  <si>
    <t xml:space="preserve">1–20</t>
  </si>
  <si>
    <t xml:space="preserve">Strap-gap jitter</t>
  </si>
  <si>
    <t xml:space="preserve">1.5 (normal) / 5 (strong)</t>
  </si>
  <si>
    <t xml:space="preserve">Values still estimated — measure these in Gate 1</t>
  </si>
  <si>
    <t xml:space="preserve">Priority 1 matters most for the results.</t>
  </si>
  <si>
    <t xml:space="preserve">Current value (v0.2)</t>
  </si>
  <si>
    <t xml:space="preserve">What the literature says</t>
  </si>
  <si>
    <t xml:space="preserve">How Gate 1 should measure it</t>
  </si>
  <si>
    <t xml:space="preserve">Priority</t>
  </si>
  <si>
    <t xml:space="preserve">Watch return path to surroundings (C_GE)</t>
  </si>
  <si>
    <t xml:space="preserve">1.0–3.0 pF</t>
  </si>
  <si>
    <t xml:space="preserve">S11 gives ~0.45 pF at the wrist; S5 gives 1.5 pF</t>
  </si>
  <si>
    <t xml:space="preserve">Battery board on wrist: inject a known signal and compare with a reference capacitor (method in S5/S11)</t>
  </si>
  <si>
    <t xml:space="preserve">2–10%</t>
  </si>
  <si>
    <t xml:space="preserve">S14 measured 23–66% for flat shields</t>
  </si>
  <si>
    <t xml:space="preserve">Measure watch-to-wrist coupling with the shield driven vs grounded</t>
  </si>
  <si>
    <t xml:space="preserve">His palm on the outer electrode</t>
  </si>
  <si>
    <t xml:space="preserve">Skin 10–20 cm² + coating</t>
  </si>
  <si>
    <t xml:space="preserve">No direct source</t>
  </si>
  <si>
    <t xml:space="preserve">Sweep change for firm grab vs light touch on the strap</t>
  </si>
  <si>
    <t xml:space="preserve">0.05% of full scale</t>
  </si>
  <si>
    <t xml:space="preserve">S15 suggests ESP32 ADC may be ~3× noisier</t>
  </si>
  <si>
    <t xml:space="preserve">Log 1,000 sweeps with nothing touching; compute std. dev. per point</t>
  </si>
  <si>
    <t xml:space="preserve">Strap-gap jitter while walking</t>
  </si>
  <si>
    <t xml:space="preserve">1.5–5%</t>
  </si>
  <si>
    <t xml:space="preserve">No source</t>
  </si>
  <si>
    <t xml:space="preserve">Log sweeps for 10 minutes of walking and arm movement</t>
  </si>
  <si>
    <t xml:space="preserve">His hand a few cm from the strap</t>
  </si>
  <si>
    <t xml:space="preserve">0.5–3 pF</t>
  </si>
  <si>
    <t xml:space="preserve">Forearm-grab trials at 2, 5, 10 cm from the strap</t>
  </si>
  <si>
    <t xml:space="preserve">Bystander body-to-body coupling</t>
  </si>
  <si>
    <t xml:space="preserve">2–15 pF</t>
  </si>
  <si>
    <t xml:space="preserve">S12: 21 pF at 1 m, so higher closer</t>
  </si>
  <si>
    <t xml:space="preserve">Read S12 Fig. 7(a) values below 1 m, or measure with two people</t>
  </si>
  <si>
    <t xml:space="preserve">Body capacitance in sandals / car seat</t>
  </si>
  <si>
    <t xml:space="preserve">130–210 / 150–300 pF</t>
  </si>
  <si>
    <t xml:space="preserve">No measurement found</t>
  </si>
  <si>
    <t xml:space="preserve">Measure with an LCR meter at 1–100 kHz (Jonassen's method)</t>
  </si>
  <si>
    <t xml:space="preserve">Wrist on wooden table; bag</t>
  </si>
  <si>
    <t xml:space="preserve">1–20 pF</t>
  </si>
  <si>
    <t xml:space="preserve">Record sweeps during these events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</si>
</sst>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E2F0D9"/>
        <bgColor rgb="FFDDEBF7"/>
      </patternFill>
    </fill>
    <fill>
      <patternFill patternType="solid">
        <fgColor rgb="FFF2F2F2"/>
        <bgColor rgb="FFEDE7F6"/>
      </patternFill>
    </fill>
    <fill>
      <patternFill patternType="solid">
        <fgColor rgb="FFDDEBF7"/>
        <bgColor rgb="FFEDE7F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7F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EDE7F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a.disneyresearch.com/wp-content/uploads/touchechi20121.pdf" TargetMode="External"/><Relationship Id="rId2" Type="http://schemas.openxmlformats.org/officeDocument/2006/relationships/hyperlink" Target="https://la.disneyresearch.com/wp-content/uploads/capacitive-fingerprintingcameraready1.pdf" TargetMode="External"/><Relationship Id="rId3" Type="http://schemas.openxmlformats.org/officeDocument/2006/relationships/hyperlink" Target="https://nime.org/proceedings/2014/nime2014_515.pdf" TargetMode="External"/><Relationship Id="rId4" Type="http://schemas.openxmlformats.org/officeDocument/2006/relationships/hyperlink" Target="https://backend.orbit.dtu.dk/ws/files/4363898/Jonassen.pdf" TargetMode="External"/><Relationship Id="rId5" Type="http://schemas.openxmlformats.org/officeDocument/2006/relationships/hyperlink" Target="https://arxiv.org/pdf/1805.05200.pdf" TargetMode="External"/><Relationship Id="rId6" Type="http://schemas.openxmlformats.org/officeDocument/2006/relationships/hyperlink" Target="https://mn.uio.no/fysikk/english/research/projects/bioimpedance/publications/papers/blemme.pdf" TargetMode="External"/><Relationship Id="rId7" Type="http://schemas.openxmlformats.org/officeDocument/2006/relationships/hyperlink" Target="https://doi.org/10.3390/s17030574" TargetMode="External"/><Relationship Id="rId8" Type="http://schemas.openxmlformats.org/officeDocument/2006/relationships/hyperlink" Target="https://par.nsf.gov/servlets/purl/10249175" TargetMode="External"/><Relationship Id="rId9" Type="http://schemas.openxmlformats.org/officeDocument/2006/relationships/hyperlink" Target="https://arxiv.org/abs/2401.06000" TargetMode="External"/><Relationship Id="rId10" Type="http://schemas.openxmlformats.org/officeDocument/2006/relationships/hyperlink" Target="https://www.mdpi.com/1424-8220/22/21/8510" TargetMode="External"/><Relationship Id="rId11" Type="http://schemas.openxmlformats.org/officeDocument/2006/relationships/hyperlink" Target="https://arxiv.org/pdf/2010.15339" TargetMode="External"/><Relationship Id="rId12" Type="http://schemas.openxmlformats.org/officeDocument/2006/relationships/hyperlink" Target="https://arxiv.org/pdf/2003.13329" TargetMode="External"/><Relationship Id="rId13" Type="http://schemas.openxmlformats.org/officeDocument/2006/relationships/hyperlink" Target="https://www.thieme-connect.de/products/ejournals/pdf/10.1055/s-0039-1699403.pdf" TargetMode="External"/><Relationship Id="rId14" Type="http://schemas.openxmlformats.org/officeDocument/2006/relationships/hyperlink" Target="https://www.ti.com/lit/pdf/SNOA926" TargetMode="External"/><Relationship Id="rId15" Type="http://schemas.openxmlformats.org/officeDocument/2006/relationships/hyperlink" Target="https://hackaday.io/project/205380-adc-performance-arduino-vs-esp32-vs-ads1115" TargetMode="External"/><Relationship Id="rId16" Type="http://schemas.openxmlformats.org/officeDocument/2006/relationships/hyperlink" Target="https://developer.espressif.com/blog/2025/08/adc-performance/" TargetMode="External"/><Relationship Id="rId17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3"/>
      <c r="B6" s="3"/>
    </row>
    <row r="7" customFormat="false" ht="15" hidden="false" customHeight="false" outlineLevel="0" collapsed="false">
      <c r="A7" s="2" t="s">
        <v>7</v>
      </c>
      <c r="B7" s="3"/>
    </row>
    <row r="8" customFormat="false" ht="15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3"/>
      <c r="B12" s="3"/>
    </row>
    <row r="13" customFormat="false" ht="35.05" hidden="false" customHeight="false" outlineLevel="0" collapsed="false">
      <c r="A13" s="2" t="s">
        <v>16</v>
      </c>
      <c r="B13" s="3" t="s">
        <v>17</v>
      </c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2" t="s">
        <v>18</v>
      </c>
      <c r="B15" s="3"/>
    </row>
    <row r="16" customFormat="false" ht="15" hidden="false" customHeight="false" outlineLevel="0" collapsed="false">
      <c r="A16" s="3" t="s">
        <v>10</v>
      </c>
      <c r="B16" s="3" t="n">
        <f aca="false">COUNTA(Sources!$A$4:$A$500)</f>
        <v>16</v>
      </c>
    </row>
    <row r="17" customFormat="false" ht="15" hidden="false" customHeight="false" outlineLevel="0" collapsed="false">
      <c r="A17" s="3" t="s">
        <v>19</v>
      </c>
      <c r="B17" s="3" t="n">
        <f aca="false">COUNTA('Values from Papers'!$A$5:$A$1000)</f>
        <v>106</v>
      </c>
    </row>
    <row r="18" customFormat="false" ht="15" hidden="false" customHeight="false" outlineLevel="0" collapsed="false">
      <c r="A18" s="3" t="s">
        <v>20</v>
      </c>
      <c r="B18" s="3" t="n">
        <f aca="false">COUNTIF('Values from Papers'!$J:$J,"In model v0.2")</f>
        <v>34</v>
      </c>
    </row>
    <row r="19" customFormat="false" ht="15" hidden="false" customHeight="false" outlineLevel="0" collapsed="false">
      <c r="A19" s="3" t="s">
        <v>21</v>
      </c>
      <c r="B19" s="3" t="n">
        <f aca="false">COUNTIF('Values from Papers'!$J:$J,"Pending integration")</f>
        <v>25</v>
      </c>
    </row>
    <row r="20" customFormat="false" ht="15" hidden="false" customHeight="false" outlineLevel="0" collapsed="false">
      <c r="A20" s="3" t="s">
        <v>22</v>
      </c>
      <c r="B20" s="3" t="n">
        <f aca="false">COUNTIF('Values from Papers'!$J:$J,"Benchmark only")</f>
        <v>11</v>
      </c>
    </row>
    <row r="21" customFormat="false" ht="15" hidden="false" customHeight="false" outlineLevel="0" collapsed="false">
      <c r="A21" s="3" t="s">
        <v>23</v>
      </c>
      <c r="B21" s="3" t="n">
        <f aca="false">COUNTIF('Values from Papers'!$J:$J,"Context only")</f>
        <v>36</v>
      </c>
    </row>
    <row r="22" customFormat="false" ht="15" hidden="false" customHeight="false" outlineLevel="0" collapsed="false">
      <c r="A22" s="3" t="s">
        <v>24</v>
      </c>
      <c r="B22" s="3" t="n">
        <f aca="false">COUNTA('Model v0.2 Params'!$A$4:$A$500)</f>
        <v>35</v>
      </c>
    </row>
    <row r="23" customFormat="false" ht="15" hidden="false" customHeight="false" outlineLevel="0" collapsed="false">
      <c r="A23" s="3" t="s">
        <v>25</v>
      </c>
      <c r="B23" s="3" t="n">
        <f aca="false">COUNTIF('Model v0.2 Params'!$E$4:$E$500,"E")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32"/>
    <col collapsed="false" customWidth="true" hidden="false" outlineLevel="0" max="7" min="7" style="0" width="9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2" min="11" style="0" width="3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4" t="s">
        <v>27</v>
      </c>
    </row>
    <row r="4" customFormat="false" ht="30" hidden="false" customHeight="true" outlineLevel="0" collapsed="false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customFormat="false" ht="15" hidden="false" customHeight="false" outlineLevel="0" collapsed="false">
      <c r="A5" s="6" t="s">
        <v>40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tr">
        <f aca="false">IFERROR(INDEX(Sources!$B:$B,MATCH(G5,Sources!$A:$A,0)),"")</f>
        <v>Sato et al. 2012 (Touché)</v>
      </c>
      <c r="I5" s="6" t="s">
        <v>47</v>
      </c>
      <c r="J5" s="7" t="s">
        <v>20</v>
      </c>
      <c r="K5" s="6" t="s">
        <v>48</v>
      </c>
      <c r="L5" s="6"/>
    </row>
    <row r="6" customFormat="false" ht="15" hidden="false" customHeight="false" outlineLevel="0" collapsed="false">
      <c r="A6" s="6" t="s">
        <v>49</v>
      </c>
      <c r="B6" s="6" t="s">
        <v>41</v>
      </c>
      <c r="C6" s="6" t="s">
        <v>50</v>
      </c>
      <c r="D6" s="8" t="n">
        <v>17.5</v>
      </c>
      <c r="E6" s="6" t="s">
        <v>51</v>
      </c>
      <c r="F6" s="6"/>
      <c r="G6" s="6" t="s">
        <v>46</v>
      </c>
      <c r="H6" s="6" t="str">
        <f aca="false">IFERROR(INDEX(Sources!$B:$B,MATCH(G6,Sources!$A:$A,0)),"")</f>
        <v>Sato et al. 2012 (Touché)</v>
      </c>
      <c r="I6" s="6" t="s">
        <v>47</v>
      </c>
      <c r="J6" s="7" t="s">
        <v>20</v>
      </c>
      <c r="K6" s="6" t="s">
        <v>52</v>
      </c>
      <c r="L6" s="6"/>
    </row>
    <row r="7" customFormat="false" ht="15" hidden="false" customHeight="false" outlineLevel="0" collapsed="false">
      <c r="A7" s="6" t="s">
        <v>53</v>
      </c>
      <c r="B7" s="6" t="s">
        <v>41</v>
      </c>
      <c r="C7" s="6" t="s">
        <v>54</v>
      </c>
      <c r="D7" s="8" t="n">
        <v>200</v>
      </c>
      <c r="E7" s="6" t="s">
        <v>55</v>
      </c>
      <c r="F7" s="6"/>
      <c r="G7" s="6" t="s">
        <v>46</v>
      </c>
      <c r="H7" s="6" t="str">
        <f aca="false">IFERROR(INDEX(Sources!$B:$B,MATCH(G7,Sources!$A:$A,0)),"")</f>
        <v>Sato et al. 2012 (Touché)</v>
      </c>
      <c r="I7" s="6" t="s">
        <v>47</v>
      </c>
      <c r="J7" s="7" t="s">
        <v>20</v>
      </c>
      <c r="K7" s="6" t="s">
        <v>56</v>
      </c>
      <c r="L7" s="6"/>
    </row>
    <row r="8" customFormat="false" ht="23.85" hidden="false" customHeight="false" outlineLevel="0" collapsed="false">
      <c r="A8" s="6" t="s">
        <v>57</v>
      </c>
      <c r="B8" s="6" t="s">
        <v>41</v>
      </c>
      <c r="C8" s="6" t="s">
        <v>58</v>
      </c>
      <c r="D8" s="8" t="n">
        <v>6.6</v>
      </c>
      <c r="E8" s="6" t="s">
        <v>59</v>
      </c>
      <c r="F8" s="6" t="s">
        <v>60</v>
      </c>
      <c r="G8" s="6" t="s">
        <v>46</v>
      </c>
      <c r="H8" s="6" t="str">
        <f aca="false">IFERROR(INDEX(Sources!$B:$B,MATCH(G8,Sources!$A:$A,0)),"")</f>
        <v>Sato et al. 2012 (Touché)</v>
      </c>
      <c r="I8" s="6" t="s">
        <v>47</v>
      </c>
      <c r="J8" s="9" t="s">
        <v>23</v>
      </c>
      <c r="K8" s="6" t="s">
        <v>61</v>
      </c>
      <c r="L8" s="6"/>
    </row>
    <row r="9" customFormat="false" ht="23.85" hidden="false" customHeight="false" outlineLevel="0" collapsed="false">
      <c r="A9" s="6" t="s">
        <v>62</v>
      </c>
      <c r="B9" s="6" t="s">
        <v>41</v>
      </c>
      <c r="C9" s="6" t="s">
        <v>63</v>
      </c>
      <c r="D9" s="8" t="n">
        <v>33</v>
      </c>
      <c r="E9" s="6" t="s">
        <v>64</v>
      </c>
      <c r="F9" s="6" t="s">
        <v>65</v>
      </c>
      <c r="G9" s="6" t="s">
        <v>46</v>
      </c>
      <c r="H9" s="6" t="str">
        <f aca="false">IFERROR(INDEX(Sources!$B:$B,MATCH(G9,Sources!$A:$A,0)),"")</f>
        <v>Sato et al. 2012 (Touché)</v>
      </c>
      <c r="I9" s="6" t="s">
        <v>47</v>
      </c>
      <c r="J9" s="7" t="s">
        <v>20</v>
      </c>
      <c r="K9" s="6" t="s">
        <v>66</v>
      </c>
      <c r="L9" s="6"/>
    </row>
    <row r="10" customFormat="false" ht="23.85" hidden="false" customHeight="false" outlineLevel="0" collapsed="false">
      <c r="A10" s="6" t="s">
        <v>67</v>
      </c>
      <c r="B10" s="6" t="s">
        <v>68</v>
      </c>
      <c r="C10" s="6" t="s">
        <v>69</v>
      </c>
      <c r="D10" s="6" t="s">
        <v>70</v>
      </c>
      <c r="E10" s="6" t="s">
        <v>71</v>
      </c>
      <c r="F10" s="6" t="s">
        <v>72</v>
      </c>
      <c r="G10" s="6" t="s">
        <v>46</v>
      </c>
      <c r="H10" s="6" t="str">
        <f aca="false">IFERROR(INDEX(Sources!$B:$B,MATCH(G10,Sources!$A:$A,0)),"")</f>
        <v>Sato et al. 2012 (Touché)</v>
      </c>
      <c r="I10" s="6" t="s">
        <v>47</v>
      </c>
      <c r="J10" s="9" t="s">
        <v>23</v>
      </c>
      <c r="K10" s="6" t="s">
        <v>73</v>
      </c>
      <c r="L10" s="6"/>
    </row>
    <row r="11" customFormat="false" ht="23.85" hidden="false" customHeight="false" outlineLevel="0" collapsed="false">
      <c r="A11" s="6" t="s">
        <v>74</v>
      </c>
      <c r="B11" s="6" t="s">
        <v>75</v>
      </c>
      <c r="C11" s="6" t="s">
        <v>76</v>
      </c>
      <c r="D11" s="6" t="s">
        <v>77</v>
      </c>
      <c r="E11" s="6" t="s">
        <v>78</v>
      </c>
      <c r="F11" s="6" t="s">
        <v>79</v>
      </c>
      <c r="G11" s="6" t="s">
        <v>46</v>
      </c>
      <c r="H11" s="6" t="str">
        <f aca="false">IFERROR(INDEX(Sources!$B:$B,MATCH(G11,Sources!$A:$A,0)),"")</f>
        <v>Sato et al. 2012 (Touché)</v>
      </c>
      <c r="I11" s="6" t="s">
        <v>47</v>
      </c>
      <c r="J11" s="7" t="s">
        <v>20</v>
      </c>
      <c r="K11" s="6" t="s">
        <v>80</v>
      </c>
      <c r="L11" s="6"/>
    </row>
    <row r="12" customFormat="false" ht="15" hidden="false" customHeight="false" outlineLevel="0" collapsed="false">
      <c r="A12" s="6" t="s">
        <v>81</v>
      </c>
      <c r="B12" s="6" t="s">
        <v>75</v>
      </c>
      <c r="C12" s="6" t="s">
        <v>82</v>
      </c>
      <c r="D12" s="8" t="n">
        <v>12</v>
      </c>
      <c r="E12" s="6" t="s">
        <v>83</v>
      </c>
      <c r="F12" s="6" t="s">
        <v>84</v>
      </c>
      <c r="G12" s="6" t="s">
        <v>46</v>
      </c>
      <c r="H12" s="6" t="str">
        <f aca="false">IFERROR(INDEX(Sources!$B:$B,MATCH(G12,Sources!$A:$A,0)),"")</f>
        <v>Sato et al. 2012 (Touché)</v>
      </c>
      <c r="I12" s="6" t="s">
        <v>47</v>
      </c>
      <c r="J12" s="7" t="s">
        <v>20</v>
      </c>
      <c r="K12" s="6" t="s">
        <v>85</v>
      </c>
      <c r="L12" s="6"/>
    </row>
    <row r="13" customFormat="false" ht="15" hidden="false" customHeight="false" outlineLevel="0" collapsed="false">
      <c r="A13" s="6" t="s">
        <v>86</v>
      </c>
      <c r="B13" s="6" t="s">
        <v>87</v>
      </c>
      <c r="C13" s="6" t="s">
        <v>88</v>
      </c>
      <c r="D13" s="6" t="s">
        <v>89</v>
      </c>
      <c r="E13" s="6" t="s">
        <v>78</v>
      </c>
      <c r="F13" s="6"/>
      <c r="G13" s="6" t="s">
        <v>46</v>
      </c>
      <c r="H13" s="6" t="str">
        <f aca="false">IFERROR(INDEX(Sources!$B:$B,MATCH(G13,Sources!$A:$A,0)),"")</f>
        <v>Sato et al. 2012 (Touché)</v>
      </c>
      <c r="I13" s="6" t="s">
        <v>47</v>
      </c>
      <c r="J13" s="9" t="s">
        <v>23</v>
      </c>
      <c r="K13" s="6"/>
      <c r="L13" s="6"/>
    </row>
    <row r="14" customFormat="false" ht="23.85" hidden="false" customHeight="false" outlineLevel="0" collapsed="false">
      <c r="A14" s="6" t="s">
        <v>90</v>
      </c>
      <c r="B14" s="6" t="s">
        <v>91</v>
      </c>
      <c r="C14" s="6" t="s">
        <v>92</v>
      </c>
      <c r="D14" s="6" t="s">
        <v>70</v>
      </c>
      <c r="E14" s="6" t="s">
        <v>93</v>
      </c>
      <c r="F14" s="6" t="s">
        <v>94</v>
      </c>
      <c r="G14" s="6" t="s">
        <v>46</v>
      </c>
      <c r="H14" s="6" t="str">
        <f aca="false">IFERROR(INDEX(Sources!$B:$B,MATCH(G14,Sources!$A:$A,0)),"")</f>
        <v>Sato et al. 2012 (Touché)</v>
      </c>
      <c r="I14" s="6" t="s">
        <v>95</v>
      </c>
      <c r="J14" s="7" t="s">
        <v>20</v>
      </c>
      <c r="K14" s="6" t="s">
        <v>96</v>
      </c>
      <c r="L14" s="6"/>
    </row>
    <row r="15" customFormat="false" ht="23.85" hidden="false" customHeight="false" outlineLevel="0" collapsed="false">
      <c r="A15" s="6" t="s">
        <v>97</v>
      </c>
      <c r="B15" s="6" t="s">
        <v>98</v>
      </c>
      <c r="C15" s="6" t="s">
        <v>99</v>
      </c>
      <c r="D15" s="6" t="s">
        <v>100</v>
      </c>
      <c r="E15" s="6" t="s">
        <v>101</v>
      </c>
      <c r="F15" s="6"/>
      <c r="G15" s="6" t="s">
        <v>46</v>
      </c>
      <c r="H15" s="6" t="str">
        <f aca="false">IFERROR(INDEX(Sources!$B:$B,MATCH(G15,Sources!$A:$A,0)),"")</f>
        <v>Sato et al. 2012 (Touché)</v>
      </c>
      <c r="I15" s="6" t="s">
        <v>95</v>
      </c>
      <c r="J15" s="7" t="s">
        <v>20</v>
      </c>
      <c r="K15" s="6" t="s">
        <v>102</v>
      </c>
      <c r="L15" s="6" t="s">
        <v>103</v>
      </c>
    </row>
    <row r="16" customFormat="false" ht="23.85" hidden="false" customHeight="false" outlineLevel="0" collapsed="false">
      <c r="A16" s="6" t="s">
        <v>104</v>
      </c>
      <c r="B16" s="6" t="s">
        <v>105</v>
      </c>
      <c r="C16" s="6" t="s">
        <v>105</v>
      </c>
      <c r="D16" s="6" t="s">
        <v>106</v>
      </c>
      <c r="E16" s="6" t="s">
        <v>78</v>
      </c>
      <c r="F16" s="6" t="s">
        <v>107</v>
      </c>
      <c r="G16" s="6" t="s">
        <v>46</v>
      </c>
      <c r="H16" s="6" t="str">
        <f aca="false">IFERROR(INDEX(Sources!$B:$B,MATCH(G16,Sources!$A:$A,0)),"")</f>
        <v>Sato et al. 2012 (Touché)</v>
      </c>
      <c r="I16" s="6" t="s">
        <v>108</v>
      </c>
      <c r="J16" s="7" t="s">
        <v>20</v>
      </c>
      <c r="K16" s="6" t="s">
        <v>109</v>
      </c>
      <c r="L16" s="6"/>
    </row>
    <row r="17" customFormat="false" ht="23.85" hidden="false" customHeight="false" outlineLevel="0" collapsed="false">
      <c r="A17" s="6" t="s">
        <v>110</v>
      </c>
      <c r="B17" s="6" t="s">
        <v>111</v>
      </c>
      <c r="C17" s="6" t="s">
        <v>112</v>
      </c>
      <c r="D17" s="8" t="n">
        <v>84</v>
      </c>
      <c r="E17" s="6" t="s">
        <v>113</v>
      </c>
      <c r="F17" s="6" t="s">
        <v>114</v>
      </c>
      <c r="G17" s="6" t="s">
        <v>46</v>
      </c>
      <c r="H17" s="6" t="str">
        <f aca="false">IFERROR(INDEX(Sources!$B:$B,MATCH(G17,Sources!$A:$A,0)),"")</f>
        <v>Sato et al. 2012 (Touché)</v>
      </c>
      <c r="I17" s="6" t="s">
        <v>115</v>
      </c>
      <c r="J17" s="10" t="s">
        <v>22</v>
      </c>
      <c r="K17" s="6"/>
      <c r="L17" s="6" t="s">
        <v>116</v>
      </c>
    </row>
    <row r="18" customFormat="false" ht="15" hidden="false" customHeight="false" outlineLevel="0" collapsed="false">
      <c r="A18" s="6" t="s">
        <v>117</v>
      </c>
      <c r="B18" s="6" t="s">
        <v>111</v>
      </c>
      <c r="C18" s="6" t="s">
        <v>118</v>
      </c>
      <c r="D18" s="8" t="n">
        <v>52.9</v>
      </c>
      <c r="E18" s="6" t="s">
        <v>113</v>
      </c>
      <c r="F18" s="6" t="s">
        <v>119</v>
      </c>
      <c r="G18" s="6" t="s">
        <v>46</v>
      </c>
      <c r="H18" s="6" t="str">
        <f aca="false">IFERROR(INDEX(Sources!$B:$B,MATCH(G18,Sources!$A:$A,0)),"")</f>
        <v>Sato et al. 2012 (Touché)</v>
      </c>
      <c r="I18" s="6" t="s">
        <v>115</v>
      </c>
      <c r="J18" s="10" t="s">
        <v>22</v>
      </c>
      <c r="K18" s="6"/>
      <c r="L18" s="6"/>
    </row>
    <row r="19" customFormat="false" ht="15" hidden="false" customHeight="false" outlineLevel="0" collapsed="false">
      <c r="A19" s="6" t="s">
        <v>120</v>
      </c>
      <c r="B19" s="6" t="s">
        <v>111</v>
      </c>
      <c r="C19" s="6" t="s">
        <v>121</v>
      </c>
      <c r="D19" s="8" t="n">
        <v>87.1</v>
      </c>
      <c r="E19" s="6" t="s">
        <v>113</v>
      </c>
      <c r="F19" s="6" t="s">
        <v>122</v>
      </c>
      <c r="G19" s="6" t="s">
        <v>46</v>
      </c>
      <c r="H19" s="6" t="str">
        <f aca="false">IFERROR(INDEX(Sources!$B:$B,MATCH(G19,Sources!$A:$A,0)),"")</f>
        <v>Sato et al. 2012 (Touché)</v>
      </c>
      <c r="I19" s="6" t="s">
        <v>115</v>
      </c>
      <c r="J19" s="10" t="s">
        <v>22</v>
      </c>
      <c r="K19" s="6"/>
      <c r="L19" s="6"/>
    </row>
    <row r="20" customFormat="false" ht="15" hidden="false" customHeight="false" outlineLevel="0" collapsed="false">
      <c r="A20" s="6" t="s">
        <v>123</v>
      </c>
      <c r="B20" s="6" t="s">
        <v>111</v>
      </c>
      <c r="C20" s="6" t="s">
        <v>124</v>
      </c>
      <c r="D20" s="8" t="n">
        <v>93.3</v>
      </c>
      <c r="E20" s="6" t="s">
        <v>113</v>
      </c>
      <c r="F20" s="6" t="s">
        <v>125</v>
      </c>
      <c r="G20" s="6" t="s">
        <v>46</v>
      </c>
      <c r="H20" s="6" t="str">
        <f aca="false">IFERROR(INDEX(Sources!$B:$B,MATCH(G20,Sources!$A:$A,0)),"")</f>
        <v>Sato et al. 2012 (Touché)</v>
      </c>
      <c r="I20" s="6" t="s">
        <v>126</v>
      </c>
      <c r="J20" s="10" t="s">
        <v>22</v>
      </c>
      <c r="K20" s="6"/>
      <c r="L20" s="6" t="s">
        <v>127</v>
      </c>
    </row>
    <row r="21" customFormat="false" ht="15" hidden="false" customHeight="false" outlineLevel="0" collapsed="false">
      <c r="A21" s="6" t="s">
        <v>128</v>
      </c>
      <c r="B21" s="6" t="s">
        <v>111</v>
      </c>
      <c r="C21" s="6" t="s">
        <v>129</v>
      </c>
      <c r="D21" s="8" t="n">
        <v>96.7</v>
      </c>
      <c r="E21" s="6" t="s">
        <v>113</v>
      </c>
      <c r="F21" s="6" t="s">
        <v>130</v>
      </c>
      <c r="G21" s="6" t="s">
        <v>46</v>
      </c>
      <c r="H21" s="6" t="str">
        <f aca="false">IFERROR(INDEX(Sources!$B:$B,MATCH(G21,Sources!$A:$A,0)),"")</f>
        <v>Sato et al. 2012 (Touché)</v>
      </c>
      <c r="I21" s="6" t="s">
        <v>131</v>
      </c>
      <c r="J21" s="10" t="s">
        <v>22</v>
      </c>
      <c r="K21" s="6"/>
      <c r="L21" s="6"/>
    </row>
    <row r="22" customFormat="false" ht="15" hidden="false" customHeight="false" outlineLevel="0" collapsed="false">
      <c r="A22" s="6" t="s">
        <v>132</v>
      </c>
      <c r="B22" s="6" t="s">
        <v>111</v>
      </c>
      <c r="C22" s="6" t="s">
        <v>133</v>
      </c>
      <c r="D22" s="8" t="n">
        <v>92.6</v>
      </c>
      <c r="E22" s="6" t="s">
        <v>113</v>
      </c>
      <c r="F22" s="6" t="s">
        <v>134</v>
      </c>
      <c r="G22" s="6" t="s">
        <v>46</v>
      </c>
      <c r="H22" s="6" t="str">
        <f aca="false">IFERROR(INDEX(Sources!$B:$B,MATCH(G22,Sources!$A:$A,0)),"")</f>
        <v>Sato et al. 2012 (Touché)</v>
      </c>
      <c r="I22" s="6" t="s">
        <v>135</v>
      </c>
      <c r="J22" s="10" t="s">
        <v>22</v>
      </c>
      <c r="K22" s="6"/>
      <c r="L22" s="6"/>
    </row>
    <row r="23" customFormat="false" ht="15" hidden="false" customHeight="false" outlineLevel="0" collapsed="false">
      <c r="A23" s="6" t="s">
        <v>136</v>
      </c>
      <c r="B23" s="6" t="s">
        <v>111</v>
      </c>
      <c r="C23" s="6" t="s">
        <v>137</v>
      </c>
      <c r="D23" s="8" t="n">
        <v>99.8</v>
      </c>
      <c r="E23" s="6" t="s">
        <v>113</v>
      </c>
      <c r="F23" s="6" t="s">
        <v>138</v>
      </c>
      <c r="G23" s="6" t="s">
        <v>46</v>
      </c>
      <c r="H23" s="6" t="str">
        <f aca="false">IFERROR(INDEX(Sources!$B:$B,MATCH(G23,Sources!$A:$A,0)),"")</f>
        <v>Sato et al. 2012 (Touché)</v>
      </c>
      <c r="I23" s="6" t="s">
        <v>139</v>
      </c>
      <c r="J23" s="10" t="s">
        <v>22</v>
      </c>
      <c r="K23" s="6"/>
      <c r="L23" s="6" t="s">
        <v>140</v>
      </c>
    </row>
    <row r="24" customFormat="false" ht="15" hidden="false" customHeight="false" outlineLevel="0" collapsed="false">
      <c r="A24" s="6" t="s">
        <v>141</v>
      </c>
      <c r="B24" s="6" t="s">
        <v>111</v>
      </c>
      <c r="C24" s="6" t="s">
        <v>142</v>
      </c>
      <c r="D24" s="8" t="n">
        <v>12</v>
      </c>
      <c r="E24" s="6" t="s">
        <v>143</v>
      </c>
      <c r="F24" s="6" t="s">
        <v>144</v>
      </c>
      <c r="G24" s="6" t="s">
        <v>46</v>
      </c>
      <c r="H24" s="6" t="str">
        <f aca="false">IFERROR(INDEX(Sources!$B:$B,MATCH(G24,Sources!$A:$A,0)),"")</f>
        <v>Sato et al. 2012 (Touché)</v>
      </c>
      <c r="I24" s="6" t="s">
        <v>145</v>
      </c>
      <c r="J24" s="10" t="s">
        <v>22</v>
      </c>
      <c r="K24" s="6"/>
      <c r="L24" s="6"/>
    </row>
    <row r="25" customFormat="false" ht="23.85" hidden="false" customHeight="false" outlineLevel="0" collapsed="false">
      <c r="A25" s="6" t="s">
        <v>146</v>
      </c>
      <c r="B25" s="6" t="s">
        <v>41</v>
      </c>
      <c r="C25" s="6" t="s">
        <v>147</v>
      </c>
      <c r="D25" s="6" t="s">
        <v>148</v>
      </c>
      <c r="E25" s="6" t="s">
        <v>78</v>
      </c>
      <c r="F25" s="6"/>
      <c r="G25" s="6" t="s">
        <v>149</v>
      </c>
      <c r="H25" s="6" t="str">
        <f aca="false">IFERROR(INDEX(Sources!$B:$B,MATCH(G25,Sources!$A:$A,0)),"")</f>
        <v>Harrison et al. 2012 (Cap. Fingerprinting)</v>
      </c>
      <c r="I25" s="6" t="s">
        <v>150</v>
      </c>
      <c r="J25" s="7" t="s">
        <v>20</v>
      </c>
      <c r="K25" s="6" t="s">
        <v>151</v>
      </c>
      <c r="L25" s="6"/>
    </row>
    <row r="26" customFormat="false" ht="23.85" hidden="false" customHeight="false" outlineLevel="0" collapsed="false">
      <c r="A26" s="6" t="s">
        <v>152</v>
      </c>
      <c r="B26" s="6" t="s">
        <v>153</v>
      </c>
      <c r="C26" s="6" t="s">
        <v>154</v>
      </c>
      <c r="D26" s="6" t="s">
        <v>155</v>
      </c>
      <c r="E26" s="6" t="s">
        <v>156</v>
      </c>
      <c r="F26" s="6" t="s">
        <v>157</v>
      </c>
      <c r="G26" s="6" t="s">
        <v>149</v>
      </c>
      <c r="H26" s="6" t="str">
        <f aca="false">IFERROR(INDEX(Sources!$B:$B,MATCH(G26,Sources!$A:$A,0)),"")</f>
        <v>Harrison et al. 2012 (Cap. Fingerprinting)</v>
      </c>
      <c r="I26" s="6" t="s">
        <v>150</v>
      </c>
      <c r="J26" s="9" t="s">
        <v>23</v>
      </c>
      <c r="K26" s="6"/>
      <c r="L26" s="6" t="s">
        <v>158</v>
      </c>
    </row>
    <row r="27" customFormat="false" ht="23.85" hidden="false" customHeight="false" outlineLevel="0" collapsed="false">
      <c r="A27" s="6" t="s">
        <v>159</v>
      </c>
      <c r="B27" s="6" t="s">
        <v>111</v>
      </c>
      <c r="C27" s="6" t="s">
        <v>160</v>
      </c>
      <c r="D27" s="8" t="n">
        <v>97.3</v>
      </c>
      <c r="E27" s="6" t="s">
        <v>113</v>
      </c>
      <c r="F27" s="6" t="s">
        <v>161</v>
      </c>
      <c r="G27" s="6" t="s">
        <v>149</v>
      </c>
      <c r="H27" s="6" t="str">
        <f aca="false">IFERROR(INDEX(Sources!$B:$B,MATCH(G27,Sources!$A:$A,0)),"")</f>
        <v>Harrison et al. 2012 (Cap. Fingerprinting)</v>
      </c>
      <c r="I27" s="6" t="s">
        <v>162</v>
      </c>
      <c r="J27" s="10" t="s">
        <v>22</v>
      </c>
      <c r="K27" s="6"/>
      <c r="L27" s="6"/>
    </row>
    <row r="28" customFormat="false" ht="23.85" hidden="false" customHeight="false" outlineLevel="0" collapsed="false">
      <c r="A28" s="6" t="s">
        <v>163</v>
      </c>
      <c r="B28" s="6" t="s">
        <v>111</v>
      </c>
      <c r="C28" s="6" t="s">
        <v>164</v>
      </c>
      <c r="D28" s="8" t="n">
        <v>84.5</v>
      </c>
      <c r="E28" s="6" t="s">
        <v>113</v>
      </c>
      <c r="F28" s="6" t="s">
        <v>165</v>
      </c>
      <c r="G28" s="6" t="s">
        <v>149</v>
      </c>
      <c r="H28" s="6" t="str">
        <f aca="false">IFERROR(INDEX(Sources!$B:$B,MATCH(G28,Sources!$A:$A,0)),"")</f>
        <v>Harrison et al. 2012 (Cap. Fingerprinting)</v>
      </c>
      <c r="I28" s="6" t="s">
        <v>162</v>
      </c>
      <c r="J28" s="10" t="s">
        <v>22</v>
      </c>
      <c r="K28" s="6"/>
      <c r="L28" s="6"/>
    </row>
    <row r="29" customFormat="false" ht="23.85" hidden="false" customHeight="false" outlineLevel="0" collapsed="false">
      <c r="A29" s="6" t="s">
        <v>166</v>
      </c>
      <c r="B29" s="6" t="s">
        <v>111</v>
      </c>
      <c r="C29" s="6" t="s">
        <v>167</v>
      </c>
      <c r="D29" s="8" t="n">
        <v>87.3</v>
      </c>
      <c r="E29" s="6" t="s">
        <v>113</v>
      </c>
      <c r="F29" s="6" t="s">
        <v>168</v>
      </c>
      <c r="G29" s="6" t="s">
        <v>149</v>
      </c>
      <c r="H29" s="6" t="str">
        <f aca="false">IFERROR(INDEX(Sources!$B:$B,MATCH(G29,Sources!$A:$A,0)),"")</f>
        <v>Harrison et al. 2012 (Cap. Fingerprinting)</v>
      </c>
      <c r="I29" s="6" t="s">
        <v>162</v>
      </c>
      <c r="J29" s="10" t="s">
        <v>22</v>
      </c>
      <c r="K29" s="6" t="s">
        <v>169</v>
      </c>
      <c r="L29" s="6"/>
    </row>
    <row r="30" customFormat="false" ht="23.85" hidden="false" customHeight="false" outlineLevel="0" collapsed="false">
      <c r="A30" s="6" t="s">
        <v>170</v>
      </c>
      <c r="B30" s="6" t="s">
        <v>91</v>
      </c>
      <c r="C30" s="6" t="s">
        <v>171</v>
      </c>
      <c r="D30" s="6" t="s">
        <v>172</v>
      </c>
      <c r="E30" s="6" t="s">
        <v>173</v>
      </c>
      <c r="F30" s="6" t="s">
        <v>174</v>
      </c>
      <c r="G30" s="6" t="s">
        <v>149</v>
      </c>
      <c r="H30" s="6" t="str">
        <f aca="false">IFERROR(INDEX(Sources!$B:$B,MATCH(G30,Sources!$A:$A,0)),"")</f>
        <v>Harrison et al. 2012 (Cap. Fingerprinting)</v>
      </c>
      <c r="I30" s="6" t="s">
        <v>175</v>
      </c>
      <c r="J30" s="9" t="s">
        <v>23</v>
      </c>
      <c r="K30" s="6"/>
      <c r="L30" s="6"/>
    </row>
    <row r="31" customFormat="false" ht="23.85" hidden="false" customHeight="false" outlineLevel="0" collapsed="false">
      <c r="A31" s="6" t="s">
        <v>176</v>
      </c>
      <c r="B31" s="6" t="s">
        <v>177</v>
      </c>
      <c r="C31" s="6" t="s">
        <v>178</v>
      </c>
      <c r="D31" s="6" t="s">
        <v>179</v>
      </c>
      <c r="E31" s="6" t="s">
        <v>78</v>
      </c>
      <c r="F31" s="6" t="s">
        <v>180</v>
      </c>
      <c r="G31" s="6" t="s">
        <v>149</v>
      </c>
      <c r="H31" s="6" t="str">
        <f aca="false">IFERROR(INDEX(Sources!$B:$B,MATCH(G31,Sources!$A:$A,0)),"")</f>
        <v>Harrison et al. 2012 (Cap. Fingerprinting)</v>
      </c>
      <c r="I31" s="6" t="s">
        <v>181</v>
      </c>
      <c r="J31" s="7" t="s">
        <v>20</v>
      </c>
      <c r="K31" s="6" t="s">
        <v>182</v>
      </c>
      <c r="L31" s="6" t="s">
        <v>183</v>
      </c>
    </row>
    <row r="32" customFormat="false" ht="23.85" hidden="false" customHeight="false" outlineLevel="0" collapsed="false">
      <c r="A32" s="6" t="s">
        <v>184</v>
      </c>
      <c r="B32" s="6" t="s">
        <v>68</v>
      </c>
      <c r="C32" s="6" t="s">
        <v>185</v>
      </c>
      <c r="D32" s="8" t="n">
        <v>10</v>
      </c>
      <c r="E32" s="6" t="s">
        <v>186</v>
      </c>
      <c r="F32" s="6" t="s">
        <v>187</v>
      </c>
      <c r="G32" s="6" t="s">
        <v>188</v>
      </c>
      <c r="H32" s="6" t="str">
        <f aca="false">IFERROR(INDEX(Sources!$B:$B,MATCH(G32,Sources!$A:$A,0)),"")</f>
        <v>Honigman et al. 2014 (Arduino Touché)</v>
      </c>
      <c r="I32" s="6" t="s">
        <v>189</v>
      </c>
      <c r="J32" s="7" t="s">
        <v>20</v>
      </c>
      <c r="K32" s="6" t="s">
        <v>190</v>
      </c>
      <c r="L32" s="6"/>
    </row>
    <row r="33" customFormat="false" ht="23.85" hidden="false" customHeight="false" outlineLevel="0" collapsed="false">
      <c r="A33" s="6" t="s">
        <v>191</v>
      </c>
      <c r="B33" s="6" t="s">
        <v>68</v>
      </c>
      <c r="C33" s="6" t="s">
        <v>192</v>
      </c>
      <c r="D33" s="8" t="n">
        <v>10</v>
      </c>
      <c r="E33" s="6" t="s">
        <v>71</v>
      </c>
      <c r="F33" s="6"/>
      <c r="G33" s="6" t="s">
        <v>188</v>
      </c>
      <c r="H33" s="6" t="str">
        <f aca="false">IFERROR(INDEX(Sources!$B:$B,MATCH(G33,Sources!$A:$A,0)),"")</f>
        <v>Honigman et al. 2014 (Arduino Touché)</v>
      </c>
      <c r="I33" s="6" t="s">
        <v>189</v>
      </c>
      <c r="J33" s="7" t="s">
        <v>20</v>
      </c>
      <c r="K33" s="6" t="s">
        <v>193</v>
      </c>
      <c r="L33" s="6"/>
    </row>
    <row r="34" customFormat="false" ht="23.85" hidden="false" customHeight="false" outlineLevel="0" collapsed="false">
      <c r="A34" s="6" t="s">
        <v>194</v>
      </c>
      <c r="B34" s="6" t="s">
        <v>68</v>
      </c>
      <c r="C34" s="6" t="s">
        <v>195</v>
      </c>
      <c r="D34" s="8" t="n">
        <v>100</v>
      </c>
      <c r="E34" s="6" t="s">
        <v>196</v>
      </c>
      <c r="F34" s="6" t="s">
        <v>197</v>
      </c>
      <c r="G34" s="6" t="s">
        <v>188</v>
      </c>
      <c r="H34" s="6" t="str">
        <f aca="false">IFERROR(INDEX(Sources!$B:$B,MATCH(G34,Sources!$A:$A,0)),"")</f>
        <v>Honigman et al. 2014 (Arduino Touché)</v>
      </c>
      <c r="I34" s="6" t="s">
        <v>189</v>
      </c>
      <c r="J34" s="7" t="s">
        <v>20</v>
      </c>
      <c r="K34" s="6" t="s">
        <v>198</v>
      </c>
      <c r="L34" s="6"/>
    </row>
    <row r="35" customFormat="false" ht="23.85" hidden="false" customHeight="false" outlineLevel="0" collapsed="false">
      <c r="A35" s="6" t="s">
        <v>199</v>
      </c>
      <c r="B35" s="6" t="s">
        <v>68</v>
      </c>
      <c r="C35" s="6" t="s">
        <v>200</v>
      </c>
      <c r="D35" s="6" t="s">
        <v>201</v>
      </c>
      <c r="E35" s="6" t="s">
        <v>78</v>
      </c>
      <c r="F35" s="6"/>
      <c r="G35" s="6" t="s">
        <v>188</v>
      </c>
      <c r="H35" s="6" t="str">
        <f aca="false">IFERROR(INDEX(Sources!$B:$B,MATCH(G35,Sources!$A:$A,0)),"")</f>
        <v>Honigman et al. 2014 (Arduino Touché)</v>
      </c>
      <c r="I35" s="6" t="s">
        <v>189</v>
      </c>
      <c r="J35" s="9" t="s">
        <v>23</v>
      </c>
      <c r="K35" s="6"/>
      <c r="L35" s="6"/>
    </row>
    <row r="36" customFormat="false" ht="23.85" hidden="false" customHeight="false" outlineLevel="0" collapsed="false">
      <c r="A36" s="6" t="s">
        <v>202</v>
      </c>
      <c r="B36" s="6" t="s">
        <v>41</v>
      </c>
      <c r="C36" s="6" t="s">
        <v>203</v>
      </c>
      <c r="D36" s="8" t="n">
        <v>198</v>
      </c>
      <c r="E36" s="6" t="s">
        <v>55</v>
      </c>
      <c r="F36" s="6"/>
      <c r="G36" s="6" t="s">
        <v>188</v>
      </c>
      <c r="H36" s="6" t="str">
        <f aca="false">IFERROR(INDEX(Sources!$B:$B,MATCH(G36,Sources!$A:$A,0)),"")</f>
        <v>Honigman et al. 2014 (Arduino Touché)</v>
      </c>
      <c r="I36" s="6" t="s">
        <v>204</v>
      </c>
      <c r="J36" s="9" t="s">
        <v>23</v>
      </c>
      <c r="K36" s="6"/>
      <c r="L36" s="6"/>
    </row>
    <row r="37" customFormat="false" ht="23.85" hidden="false" customHeight="false" outlineLevel="0" collapsed="false">
      <c r="A37" s="6" t="s">
        <v>205</v>
      </c>
      <c r="B37" s="6" t="s">
        <v>91</v>
      </c>
      <c r="C37" s="6" t="s">
        <v>206</v>
      </c>
      <c r="D37" s="6" t="s">
        <v>207</v>
      </c>
      <c r="E37" s="6" t="s">
        <v>196</v>
      </c>
      <c r="F37" s="6" t="s">
        <v>208</v>
      </c>
      <c r="G37" s="6" t="s">
        <v>209</v>
      </c>
      <c r="H37" s="6" t="str">
        <f aca="false">IFERROR(INDEX(Sources!$B:$B,MATCH(G37,Sources!$A:$A,0)),"")</f>
        <v>Jonassen 1998</v>
      </c>
      <c r="I37" s="6" t="s">
        <v>210</v>
      </c>
      <c r="J37" s="7" t="s">
        <v>20</v>
      </c>
      <c r="K37" s="6" t="s">
        <v>211</v>
      </c>
      <c r="L37" s="6"/>
    </row>
    <row r="38" customFormat="false" ht="23.85" hidden="false" customHeight="false" outlineLevel="0" collapsed="false">
      <c r="A38" s="6" t="s">
        <v>212</v>
      </c>
      <c r="B38" s="6" t="s">
        <v>91</v>
      </c>
      <c r="C38" s="6" t="s">
        <v>213</v>
      </c>
      <c r="D38" s="8" t="n">
        <v>110</v>
      </c>
      <c r="E38" s="6" t="s">
        <v>196</v>
      </c>
      <c r="F38" s="6" t="s">
        <v>214</v>
      </c>
      <c r="G38" s="6" t="s">
        <v>209</v>
      </c>
      <c r="H38" s="6" t="str">
        <f aca="false">IFERROR(INDEX(Sources!$B:$B,MATCH(G38,Sources!$A:$A,0)),"")</f>
        <v>Jonassen 1998</v>
      </c>
      <c r="I38" s="6" t="s">
        <v>210</v>
      </c>
      <c r="J38" s="7" t="s">
        <v>20</v>
      </c>
      <c r="K38" s="6" t="s">
        <v>211</v>
      </c>
      <c r="L38" s="6"/>
    </row>
    <row r="39" customFormat="false" ht="15" hidden="false" customHeight="false" outlineLevel="0" collapsed="false">
      <c r="A39" s="6" t="s">
        <v>215</v>
      </c>
      <c r="B39" s="6" t="s">
        <v>91</v>
      </c>
      <c r="C39" s="6" t="s">
        <v>216</v>
      </c>
      <c r="D39" s="8" t="n">
        <v>115</v>
      </c>
      <c r="E39" s="6" t="s">
        <v>196</v>
      </c>
      <c r="F39" s="6" t="s">
        <v>214</v>
      </c>
      <c r="G39" s="6" t="s">
        <v>209</v>
      </c>
      <c r="H39" s="6" t="str">
        <f aca="false">IFERROR(INDEX(Sources!$B:$B,MATCH(G39,Sources!$A:$A,0)),"")</f>
        <v>Jonassen 1998</v>
      </c>
      <c r="I39" s="6" t="s">
        <v>217</v>
      </c>
      <c r="J39" s="7" t="s">
        <v>20</v>
      </c>
      <c r="K39" s="6" t="s">
        <v>211</v>
      </c>
      <c r="L39" s="6"/>
    </row>
    <row r="40" customFormat="false" ht="15" hidden="false" customHeight="false" outlineLevel="0" collapsed="false">
      <c r="A40" s="6" t="s">
        <v>218</v>
      </c>
      <c r="B40" s="6" t="s">
        <v>91</v>
      </c>
      <c r="C40" s="6" t="s">
        <v>219</v>
      </c>
      <c r="D40" s="8" t="n">
        <v>250</v>
      </c>
      <c r="E40" s="6" t="s">
        <v>196</v>
      </c>
      <c r="F40" s="6" t="s">
        <v>214</v>
      </c>
      <c r="G40" s="6" t="s">
        <v>209</v>
      </c>
      <c r="H40" s="6" t="str">
        <f aca="false">IFERROR(INDEX(Sources!$B:$B,MATCH(G40,Sources!$A:$A,0)),"")</f>
        <v>Jonassen 1998</v>
      </c>
      <c r="I40" s="6" t="s">
        <v>210</v>
      </c>
      <c r="J40" s="7" t="s">
        <v>20</v>
      </c>
      <c r="K40" s="6" t="s">
        <v>220</v>
      </c>
      <c r="L40" s="6"/>
    </row>
    <row r="41" customFormat="false" ht="15" hidden="false" customHeight="false" outlineLevel="0" collapsed="false">
      <c r="A41" s="6" t="s">
        <v>221</v>
      </c>
      <c r="B41" s="6" t="s">
        <v>91</v>
      </c>
      <c r="C41" s="6" t="s">
        <v>222</v>
      </c>
      <c r="D41" s="8" t="n">
        <v>185</v>
      </c>
      <c r="E41" s="6" t="s">
        <v>196</v>
      </c>
      <c r="F41" s="6" t="s">
        <v>214</v>
      </c>
      <c r="G41" s="6" t="s">
        <v>209</v>
      </c>
      <c r="H41" s="6" t="str">
        <f aca="false">IFERROR(INDEX(Sources!$B:$B,MATCH(G41,Sources!$A:$A,0)),"")</f>
        <v>Jonassen 1998</v>
      </c>
      <c r="I41" s="6" t="s">
        <v>210</v>
      </c>
      <c r="J41" s="7" t="s">
        <v>20</v>
      </c>
      <c r="K41" s="6" t="s">
        <v>220</v>
      </c>
      <c r="L41" s="6"/>
    </row>
    <row r="42" customFormat="false" ht="15" hidden="false" customHeight="false" outlineLevel="0" collapsed="false">
      <c r="A42" s="6" t="s">
        <v>223</v>
      </c>
      <c r="B42" s="6" t="s">
        <v>91</v>
      </c>
      <c r="C42" s="6" t="s">
        <v>224</v>
      </c>
      <c r="D42" s="6" t="s">
        <v>225</v>
      </c>
      <c r="E42" s="6" t="s">
        <v>196</v>
      </c>
      <c r="F42" s="6" t="s">
        <v>226</v>
      </c>
      <c r="G42" s="6" t="s">
        <v>209</v>
      </c>
      <c r="H42" s="6" t="str">
        <f aca="false">IFERROR(INDEX(Sources!$B:$B,MATCH(G42,Sources!$A:$A,0)),"")</f>
        <v>Jonassen 1998</v>
      </c>
      <c r="I42" s="6" t="s">
        <v>217</v>
      </c>
      <c r="J42" s="9" t="s">
        <v>23</v>
      </c>
      <c r="K42" s="6"/>
      <c r="L42" s="6"/>
    </row>
    <row r="43" customFormat="false" ht="23.85" hidden="false" customHeight="false" outlineLevel="0" collapsed="false">
      <c r="A43" s="6" t="s">
        <v>227</v>
      </c>
      <c r="B43" s="6" t="s">
        <v>91</v>
      </c>
      <c r="C43" s="6" t="s">
        <v>228</v>
      </c>
      <c r="D43" s="6" t="s">
        <v>229</v>
      </c>
      <c r="E43" s="6" t="s">
        <v>196</v>
      </c>
      <c r="F43" s="6" t="s">
        <v>230</v>
      </c>
      <c r="G43" s="6" t="s">
        <v>209</v>
      </c>
      <c r="H43" s="6" t="str">
        <f aca="false">IFERROR(INDEX(Sources!$B:$B,MATCH(G43,Sources!$A:$A,0)),"")</f>
        <v>Jonassen 1998</v>
      </c>
      <c r="I43" s="6" t="s">
        <v>231</v>
      </c>
      <c r="J43" s="9" t="s">
        <v>23</v>
      </c>
      <c r="K43" s="6" t="s">
        <v>232</v>
      </c>
      <c r="L43" s="6"/>
    </row>
    <row r="44" customFormat="false" ht="15" hidden="false" customHeight="false" outlineLevel="0" collapsed="false">
      <c r="A44" s="6" t="s">
        <v>233</v>
      </c>
      <c r="B44" s="6" t="s">
        <v>91</v>
      </c>
      <c r="C44" s="6" t="s">
        <v>234</v>
      </c>
      <c r="D44" s="8" t="n">
        <v>40</v>
      </c>
      <c r="E44" s="6" t="s">
        <v>196</v>
      </c>
      <c r="F44" s="6" t="s">
        <v>235</v>
      </c>
      <c r="G44" s="6" t="s">
        <v>209</v>
      </c>
      <c r="H44" s="6" t="str">
        <f aca="false">IFERROR(INDEX(Sources!$B:$B,MATCH(G44,Sources!$A:$A,0)),"")</f>
        <v>Jonassen 1998</v>
      </c>
      <c r="I44" s="6" t="s">
        <v>236</v>
      </c>
      <c r="J44" s="9" t="s">
        <v>23</v>
      </c>
      <c r="K44" s="6"/>
      <c r="L44" s="6"/>
    </row>
    <row r="45" customFormat="false" ht="15" hidden="false" customHeight="false" outlineLevel="0" collapsed="false">
      <c r="A45" s="6" t="s">
        <v>237</v>
      </c>
      <c r="B45" s="6" t="s">
        <v>91</v>
      </c>
      <c r="C45" s="6" t="s">
        <v>238</v>
      </c>
      <c r="D45" s="6" t="s">
        <v>239</v>
      </c>
      <c r="E45" s="6" t="s">
        <v>196</v>
      </c>
      <c r="F45" s="6" t="s">
        <v>240</v>
      </c>
      <c r="G45" s="6" t="s">
        <v>209</v>
      </c>
      <c r="H45" s="6" t="str">
        <f aca="false">IFERROR(INDEX(Sources!$B:$B,MATCH(G45,Sources!$A:$A,0)),"")</f>
        <v>Jonassen 1998</v>
      </c>
      <c r="I45" s="6" t="s">
        <v>236</v>
      </c>
      <c r="J45" s="9" t="s">
        <v>23</v>
      </c>
      <c r="K45" s="6"/>
      <c r="L45" s="6" t="s">
        <v>241</v>
      </c>
    </row>
    <row r="46" customFormat="false" ht="15" hidden="false" customHeight="false" outlineLevel="0" collapsed="false">
      <c r="A46" s="6" t="s">
        <v>242</v>
      </c>
      <c r="B46" s="6" t="s">
        <v>91</v>
      </c>
      <c r="C46" s="6" t="s">
        <v>243</v>
      </c>
      <c r="D46" s="8" t="n">
        <v>100</v>
      </c>
      <c r="E46" s="6" t="s">
        <v>196</v>
      </c>
      <c r="F46" s="6" t="s">
        <v>244</v>
      </c>
      <c r="G46" s="6" t="s">
        <v>209</v>
      </c>
      <c r="H46" s="6" t="str">
        <f aca="false">IFERROR(INDEX(Sources!$B:$B,MATCH(G46,Sources!$A:$A,0)),"")</f>
        <v>Jonassen 1998</v>
      </c>
      <c r="I46" s="6" t="s">
        <v>204</v>
      </c>
      <c r="J46" s="9" t="s">
        <v>23</v>
      </c>
      <c r="K46" s="6"/>
      <c r="L46" s="6"/>
    </row>
    <row r="47" customFormat="false" ht="15" hidden="false" customHeight="false" outlineLevel="0" collapsed="false">
      <c r="A47" s="6" t="s">
        <v>245</v>
      </c>
      <c r="B47" s="6" t="s">
        <v>91</v>
      </c>
      <c r="C47" s="6" t="s">
        <v>246</v>
      </c>
      <c r="D47" s="6" t="s">
        <v>247</v>
      </c>
      <c r="E47" s="6" t="s">
        <v>78</v>
      </c>
      <c r="F47" s="6"/>
      <c r="G47" s="6" t="s">
        <v>209</v>
      </c>
      <c r="H47" s="6" t="str">
        <f aca="false">IFERROR(INDEX(Sources!$B:$B,MATCH(G47,Sources!$A:$A,0)),"")</f>
        <v>Jonassen 1998</v>
      </c>
      <c r="I47" s="6" t="s">
        <v>204</v>
      </c>
      <c r="J47" s="9" t="s">
        <v>23</v>
      </c>
      <c r="K47" s="6"/>
      <c r="L47" s="6"/>
    </row>
    <row r="48" customFormat="false" ht="15" hidden="false" customHeight="false" outlineLevel="0" collapsed="false">
      <c r="A48" s="6" t="s">
        <v>248</v>
      </c>
      <c r="B48" s="6" t="s">
        <v>91</v>
      </c>
      <c r="C48" s="6" t="s">
        <v>249</v>
      </c>
      <c r="D48" s="8" t="n">
        <v>150</v>
      </c>
      <c r="E48" s="6" t="s">
        <v>196</v>
      </c>
      <c r="F48" s="6" t="s">
        <v>250</v>
      </c>
      <c r="G48" s="6" t="s">
        <v>251</v>
      </c>
      <c r="H48" s="6" t="str">
        <f aca="false">IFERROR(INDEX(Sources!$B:$B,MATCH(G48,Sources!$A:$A,0)),"")</f>
        <v>Maity et al. 2019</v>
      </c>
      <c r="I48" s="6" t="s">
        <v>252</v>
      </c>
      <c r="J48" s="7" t="s">
        <v>20</v>
      </c>
      <c r="K48" s="6" t="s">
        <v>253</v>
      </c>
      <c r="L48" s="6"/>
    </row>
    <row r="49" customFormat="false" ht="15" hidden="false" customHeight="false" outlineLevel="0" collapsed="false">
      <c r="A49" s="6" t="s">
        <v>254</v>
      </c>
      <c r="B49" s="6" t="s">
        <v>91</v>
      </c>
      <c r="C49" s="6" t="s">
        <v>255</v>
      </c>
      <c r="D49" s="6" t="s">
        <v>256</v>
      </c>
      <c r="E49" s="6" t="s">
        <v>93</v>
      </c>
      <c r="F49" s="6" t="s">
        <v>257</v>
      </c>
      <c r="G49" s="6" t="s">
        <v>251</v>
      </c>
      <c r="H49" s="6" t="str">
        <f aca="false">IFERROR(INDEX(Sources!$B:$B,MATCH(G49,Sources!$A:$A,0)),"")</f>
        <v>Maity et al. 2019</v>
      </c>
      <c r="I49" s="6" t="s">
        <v>258</v>
      </c>
      <c r="J49" s="7" t="s">
        <v>20</v>
      </c>
      <c r="K49" s="6" t="s">
        <v>259</v>
      </c>
      <c r="L49" s="6"/>
    </row>
    <row r="50" customFormat="false" ht="23.85" hidden="false" customHeight="false" outlineLevel="0" collapsed="false">
      <c r="A50" s="6" t="s">
        <v>260</v>
      </c>
      <c r="B50" s="6" t="s">
        <v>98</v>
      </c>
      <c r="C50" s="6" t="s">
        <v>261</v>
      </c>
      <c r="D50" s="6" t="s">
        <v>262</v>
      </c>
      <c r="E50" s="6" t="s">
        <v>93</v>
      </c>
      <c r="F50" s="6" t="s">
        <v>263</v>
      </c>
      <c r="G50" s="6" t="s">
        <v>251</v>
      </c>
      <c r="H50" s="6" t="str">
        <f aca="false">IFERROR(INDEX(Sources!$B:$B,MATCH(G50,Sources!$A:$A,0)),"")</f>
        <v>Maity et al. 2019</v>
      </c>
      <c r="I50" s="6" t="s">
        <v>258</v>
      </c>
      <c r="J50" s="9" t="s">
        <v>23</v>
      </c>
      <c r="K50" s="6" t="s">
        <v>264</v>
      </c>
      <c r="L50" s="6"/>
    </row>
    <row r="51" customFormat="false" ht="15" hidden="false" customHeight="false" outlineLevel="0" collapsed="false">
      <c r="A51" s="6" t="s">
        <v>265</v>
      </c>
      <c r="B51" s="6" t="s">
        <v>98</v>
      </c>
      <c r="C51" s="6" t="s">
        <v>266</v>
      </c>
      <c r="D51" s="8" t="n">
        <v>90</v>
      </c>
      <c r="E51" s="6" t="s">
        <v>196</v>
      </c>
      <c r="F51" s="6" t="s">
        <v>267</v>
      </c>
      <c r="G51" s="6" t="s">
        <v>251</v>
      </c>
      <c r="H51" s="6" t="str">
        <f aca="false">IFERROR(INDEX(Sources!$B:$B,MATCH(G51,Sources!$A:$A,0)),"")</f>
        <v>Maity et al. 2019</v>
      </c>
      <c r="I51" s="6" t="s">
        <v>258</v>
      </c>
      <c r="J51" s="9" t="s">
        <v>23</v>
      </c>
      <c r="K51" s="6"/>
      <c r="L51" s="6"/>
    </row>
    <row r="52" customFormat="false" ht="15" hidden="false" customHeight="false" outlineLevel="0" collapsed="false">
      <c r="A52" s="6" t="s">
        <v>268</v>
      </c>
      <c r="B52" s="6" t="s">
        <v>87</v>
      </c>
      <c r="C52" s="6" t="s">
        <v>269</v>
      </c>
      <c r="D52" s="6" t="s">
        <v>270</v>
      </c>
      <c r="E52" s="6" t="s">
        <v>196</v>
      </c>
      <c r="F52" s="6" t="s">
        <v>271</v>
      </c>
      <c r="G52" s="6" t="s">
        <v>251</v>
      </c>
      <c r="H52" s="6" t="str">
        <f aca="false">IFERROR(INDEX(Sources!$B:$B,MATCH(G52,Sources!$A:$A,0)),"")</f>
        <v>Maity et al. 2019</v>
      </c>
      <c r="I52" s="6" t="s">
        <v>258</v>
      </c>
      <c r="J52" s="9" t="s">
        <v>23</v>
      </c>
      <c r="K52" s="6"/>
      <c r="L52" s="6"/>
    </row>
    <row r="53" customFormat="false" ht="15" hidden="false" customHeight="false" outlineLevel="0" collapsed="false">
      <c r="A53" s="6" t="s">
        <v>272</v>
      </c>
      <c r="B53" s="6" t="s">
        <v>91</v>
      </c>
      <c r="C53" s="6" t="s">
        <v>273</v>
      </c>
      <c r="D53" s="8" t="n">
        <v>9</v>
      </c>
      <c r="E53" s="6" t="s">
        <v>196</v>
      </c>
      <c r="F53" s="6" t="s">
        <v>274</v>
      </c>
      <c r="G53" s="6" t="s">
        <v>251</v>
      </c>
      <c r="H53" s="6" t="str">
        <f aca="false">IFERROR(INDEX(Sources!$B:$B,MATCH(G53,Sources!$A:$A,0)),"")</f>
        <v>Maity et al. 2019</v>
      </c>
      <c r="I53" s="6" t="s">
        <v>258</v>
      </c>
      <c r="J53" s="9" t="s">
        <v>23</v>
      </c>
      <c r="K53" s="6"/>
      <c r="L53" s="6"/>
    </row>
    <row r="54" customFormat="false" ht="23.85" hidden="false" customHeight="false" outlineLevel="0" collapsed="false">
      <c r="A54" s="6" t="s">
        <v>275</v>
      </c>
      <c r="B54" s="6" t="s">
        <v>87</v>
      </c>
      <c r="C54" s="6" t="s">
        <v>276</v>
      </c>
      <c r="D54" s="8" t="n">
        <v>0.3</v>
      </c>
      <c r="E54" s="6" t="s">
        <v>196</v>
      </c>
      <c r="F54" s="6" t="s">
        <v>277</v>
      </c>
      <c r="G54" s="6" t="s">
        <v>251</v>
      </c>
      <c r="H54" s="6" t="str">
        <f aca="false">IFERROR(INDEX(Sources!$B:$B,MATCH(G54,Sources!$A:$A,0)),"")</f>
        <v>Maity et al. 2019</v>
      </c>
      <c r="I54" s="6" t="s">
        <v>258</v>
      </c>
      <c r="J54" s="9" t="s">
        <v>23</v>
      </c>
      <c r="K54" s="6" t="s">
        <v>278</v>
      </c>
      <c r="L54" s="6"/>
    </row>
    <row r="55" customFormat="false" ht="15" hidden="false" customHeight="false" outlineLevel="0" collapsed="false">
      <c r="A55" s="6" t="s">
        <v>279</v>
      </c>
      <c r="B55" s="6" t="s">
        <v>87</v>
      </c>
      <c r="C55" s="6" t="s">
        <v>280</v>
      </c>
      <c r="D55" s="8" t="n">
        <v>1.5</v>
      </c>
      <c r="E55" s="6" t="s">
        <v>196</v>
      </c>
      <c r="F55" s="6" t="s">
        <v>281</v>
      </c>
      <c r="G55" s="6" t="s">
        <v>251</v>
      </c>
      <c r="H55" s="6" t="str">
        <f aca="false">IFERROR(INDEX(Sources!$B:$B,MATCH(G55,Sources!$A:$A,0)),"")</f>
        <v>Maity et al. 2019</v>
      </c>
      <c r="I55" s="6" t="s">
        <v>252</v>
      </c>
      <c r="J55" s="7" t="s">
        <v>20</v>
      </c>
      <c r="K55" s="6" t="s">
        <v>282</v>
      </c>
      <c r="L55" s="6" t="s">
        <v>283</v>
      </c>
    </row>
    <row r="56" customFormat="false" ht="15" hidden="false" customHeight="false" outlineLevel="0" collapsed="false">
      <c r="A56" s="6" t="s">
        <v>284</v>
      </c>
      <c r="B56" s="6" t="s">
        <v>87</v>
      </c>
      <c r="C56" s="6" t="s">
        <v>285</v>
      </c>
      <c r="D56" s="8" t="n">
        <v>1</v>
      </c>
      <c r="E56" s="6" t="s">
        <v>196</v>
      </c>
      <c r="F56" s="6" t="s">
        <v>286</v>
      </c>
      <c r="G56" s="6" t="s">
        <v>251</v>
      </c>
      <c r="H56" s="6" t="str">
        <f aca="false">IFERROR(INDEX(Sources!$B:$B,MATCH(G56,Sources!$A:$A,0)),"")</f>
        <v>Maity et al. 2019</v>
      </c>
      <c r="I56" s="6" t="s">
        <v>258</v>
      </c>
      <c r="J56" s="9" t="s">
        <v>23</v>
      </c>
      <c r="K56" s="6"/>
      <c r="L56" s="6"/>
    </row>
    <row r="57" customFormat="false" ht="15" hidden="false" customHeight="false" outlineLevel="0" collapsed="false">
      <c r="A57" s="6" t="s">
        <v>287</v>
      </c>
      <c r="B57" s="6" t="s">
        <v>75</v>
      </c>
      <c r="C57" s="6" t="s">
        <v>288</v>
      </c>
      <c r="D57" s="6" t="s">
        <v>289</v>
      </c>
      <c r="E57" s="6" t="s">
        <v>290</v>
      </c>
      <c r="F57" s="6" t="s">
        <v>291</v>
      </c>
      <c r="G57" s="6" t="s">
        <v>251</v>
      </c>
      <c r="H57" s="6" t="str">
        <f aca="false">IFERROR(INDEX(Sources!$B:$B,MATCH(G57,Sources!$A:$A,0)),"")</f>
        <v>Maity et al. 2019</v>
      </c>
      <c r="I57" s="6" t="s">
        <v>162</v>
      </c>
      <c r="J57" s="9" t="s">
        <v>23</v>
      </c>
      <c r="K57" s="6"/>
      <c r="L57" s="6"/>
    </row>
    <row r="58" customFormat="false" ht="15" hidden="false" customHeight="false" outlineLevel="0" collapsed="false">
      <c r="A58" s="6" t="s">
        <v>292</v>
      </c>
      <c r="B58" s="6" t="s">
        <v>98</v>
      </c>
      <c r="C58" s="6" t="s">
        <v>293</v>
      </c>
      <c r="D58" s="8" t="n">
        <v>4.4</v>
      </c>
      <c r="E58" s="6" t="s">
        <v>294</v>
      </c>
      <c r="F58" s="6" t="s">
        <v>295</v>
      </c>
      <c r="G58" s="6" t="s">
        <v>296</v>
      </c>
      <c r="H58" s="6" t="str">
        <f aca="false">IFERROR(INDEX(Sources!$B:$B,MATCH(G58,Sources!$A:$A,0)),"")</f>
        <v>Martinsen et al. 1997</v>
      </c>
      <c r="I58" s="6" t="s">
        <v>297</v>
      </c>
      <c r="J58" s="7" t="s">
        <v>20</v>
      </c>
      <c r="K58" s="6" t="s">
        <v>298</v>
      </c>
      <c r="L58" s="6"/>
    </row>
    <row r="59" customFormat="false" ht="15" hidden="false" customHeight="false" outlineLevel="0" collapsed="false">
      <c r="A59" s="6" t="s">
        <v>299</v>
      </c>
      <c r="B59" s="6" t="s">
        <v>98</v>
      </c>
      <c r="C59" s="6" t="s">
        <v>300</v>
      </c>
      <c r="D59" s="8" t="n">
        <v>100</v>
      </c>
      <c r="E59" s="6" t="s">
        <v>301</v>
      </c>
      <c r="F59" s="6" t="s">
        <v>302</v>
      </c>
      <c r="G59" s="6" t="s">
        <v>296</v>
      </c>
      <c r="H59" s="6" t="str">
        <f aca="false">IFERROR(INDEX(Sources!$B:$B,MATCH(G59,Sources!$A:$A,0)),"")</f>
        <v>Martinsen et al. 1997</v>
      </c>
      <c r="I59" s="6" t="s">
        <v>297</v>
      </c>
      <c r="J59" s="7" t="s">
        <v>20</v>
      </c>
      <c r="K59" s="6"/>
      <c r="L59" s="6"/>
    </row>
    <row r="60" customFormat="false" ht="15" hidden="false" customHeight="false" outlineLevel="0" collapsed="false">
      <c r="A60" s="6" t="s">
        <v>303</v>
      </c>
      <c r="B60" s="6" t="s">
        <v>98</v>
      </c>
      <c r="C60" s="6" t="s">
        <v>304</v>
      </c>
      <c r="D60" s="8" t="n">
        <v>50</v>
      </c>
      <c r="E60" s="6" t="s">
        <v>305</v>
      </c>
      <c r="F60" s="6" t="s">
        <v>306</v>
      </c>
      <c r="G60" s="6" t="s">
        <v>296</v>
      </c>
      <c r="H60" s="6" t="str">
        <f aca="false">IFERROR(INDEX(Sources!$B:$B,MATCH(G60,Sources!$A:$A,0)),"")</f>
        <v>Martinsen et al. 1997</v>
      </c>
      <c r="I60" s="6" t="s">
        <v>297</v>
      </c>
      <c r="J60" s="7" t="s">
        <v>20</v>
      </c>
      <c r="K60" s="6"/>
      <c r="L60" s="6"/>
    </row>
    <row r="61" customFormat="false" ht="15" hidden="false" customHeight="false" outlineLevel="0" collapsed="false">
      <c r="A61" s="6" t="s">
        <v>307</v>
      </c>
      <c r="B61" s="6" t="s">
        <v>98</v>
      </c>
      <c r="C61" s="6" t="s">
        <v>308</v>
      </c>
      <c r="D61" s="8" t="n">
        <v>0.8</v>
      </c>
      <c r="E61" s="6" t="s">
        <v>78</v>
      </c>
      <c r="F61" s="6" t="s">
        <v>309</v>
      </c>
      <c r="G61" s="6" t="s">
        <v>296</v>
      </c>
      <c r="H61" s="6" t="str">
        <f aca="false">IFERROR(INDEX(Sources!$B:$B,MATCH(G61,Sources!$A:$A,0)),"")</f>
        <v>Martinsen et al. 1997</v>
      </c>
      <c r="I61" s="6" t="s">
        <v>204</v>
      </c>
      <c r="J61" s="7" t="s">
        <v>20</v>
      </c>
      <c r="K61" s="6" t="s">
        <v>310</v>
      </c>
      <c r="L61" s="6"/>
    </row>
    <row r="62" customFormat="false" ht="15" hidden="false" customHeight="false" outlineLevel="0" collapsed="false">
      <c r="A62" s="6" t="s">
        <v>311</v>
      </c>
      <c r="B62" s="6" t="s">
        <v>98</v>
      </c>
      <c r="C62" s="6" t="s">
        <v>312</v>
      </c>
      <c r="D62" s="6" t="s">
        <v>313</v>
      </c>
      <c r="E62" s="6" t="s">
        <v>186</v>
      </c>
      <c r="F62" s="6"/>
      <c r="G62" s="6" t="s">
        <v>296</v>
      </c>
      <c r="H62" s="6" t="str">
        <f aca="false">IFERROR(INDEX(Sources!$B:$B,MATCH(G62,Sources!$A:$A,0)),"")</f>
        <v>Martinsen et al. 1997</v>
      </c>
      <c r="I62" s="6" t="s">
        <v>204</v>
      </c>
      <c r="J62" s="9" t="s">
        <v>23</v>
      </c>
      <c r="K62" s="6"/>
      <c r="L62" s="6"/>
    </row>
    <row r="63" customFormat="false" ht="23.85" hidden="false" customHeight="false" outlineLevel="0" collapsed="false">
      <c r="A63" s="6" t="s">
        <v>314</v>
      </c>
      <c r="B63" s="6" t="s">
        <v>315</v>
      </c>
      <c r="C63" s="6" t="s">
        <v>316</v>
      </c>
      <c r="D63" s="6" t="s">
        <v>317</v>
      </c>
      <c r="E63" s="6" t="s">
        <v>78</v>
      </c>
      <c r="F63" s="6" t="s">
        <v>318</v>
      </c>
      <c r="G63" s="6" t="s">
        <v>319</v>
      </c>
      <c r="H63" s="6" t="str">
        <f aca="false">IFERROR(INDEX(Sources!$B:$B,MATCH(G63,Sources!$A:$A,0)),"")</f>
        <v>Ng &amp; Reaz 2017</v>
      </c>
      <c r="I63" s="6" t="s">
        <v>320</v>
      </c>
      <c r="J63" s="7" t="s">
        <v>20</v>
      </c>
      <c r="K63" s="6" t="s">
        <v>321</v>
      </c>
      <c r="L63" s="6"/>
    </row>
    <row r="64" customFormat="false" ht="23.85" hidden="false" customHeight="false" outlineLevel="0" collapsed="false">
      <c r="A64" s="6" t="s">
        <v>322</v>
      </c>
      <c r="B64" s="6" t="s">
        <v>315</v>
      </c>
      <c r="C64" s="6" t="s">
        <v>323</v>
      </c>
      <c r="D64" s="6" t="s">
        <v>324</v>
      </c>
      <c r="E64" s="6" t="s">
        <v>78</v>
      </c>
      <c r="F64" s="6" t="s">
        <v>325</v>
      </c>
      <c r="G64" s="6" t="s">
        <v>319</v>
      </c>
      <c r="H64" s="6" t="str">
        <f aca="false">IFERROR(INDEX(Sources!$B:$B,MATCH(G64,Sources!$A:$A,0)),"")</f>
        <v>Ng &amp; Reaz 2017</v>
      </c>
      <c r="I64" s="6" t="s">
        <v>320</v>
      </c>
      <c r="J64" s="7" t="s">
        <v>20</v>
      </c>
      <c r="K64" s="6"/>
      <c r="L64" s="6"/>
    </row>
    <row r="65" customFormat="false" ht="23.85" hidden="false" customHeight="false" outlineLevel="0" collapsed="false">
      <c r="A65" s="6" t="s">
        <v>326</v>
      </c>
      <c r="B65" s="6" t="s">
        <v>315</v>
      </c>
      <c r="C65" s="6" t="s">
        <v>327</v>
      </c>
      <c r="D65" s="6" t="s">
        <v>328</v>
      </c>
      <c r="E65" s="6" t="s">
        <v>78</v>
      </c>
      <c r="F65" s="6" t="s">
        <v>325</v>
      </c>
      <c r="G65" s="6" t="s">
        <v>319</v>
      </c>
      <c r="H65" s="6" t="str">
        <f aca="false">IFERROR(INDEX(Sources!$B:$B,MATCH(G65,Sources!$A:$A,0)),"")</f>
        <v>Ng &amp; Reaz 2017</v>
      </c>
      <c r="I65" s="6" t="s">
        <v>320</v>
      </c>
      <c r="J65" s="7" t="s">
        <v>20</v>
      </c>
      <c r="K65" s="6"/>
      <c r="L65" s="6"/>
    </row>
    <row r="66" customFormat="false" ht="23.85" hidden="false" customHeight="false" outlineLevel="0" collapsed="false">
      <c r="A66" s="6" t="s">
        <v>329</v>
      </c>
      <c r="B66" s="6" t="s">
        <v>315</v>
      </c>
      <c r="C66" s="6" t="s">
        <v>330</v>
      </c>
      <c r="D66" s="6" t="s">
        <v>331</v>
      </c>
      <c r="E66" s="6" t="s">
        <v>78</v>
      </c>
      <c r="F66" s="6" t="s">
        <v>325</v>
      </c>
      <c r="G66" s="6" t="s">
        <v>319</v>
      </c>
      <c r="H66" s="6" t="str">
        <f aca="false">IFERROR(INDEX(Sources!$B:$B,MATCH(G66,Sources!$A:$A,0)),"")</f>
        <v>Ng &amp; Reaz 2017</v>
      </c>
      <c r="I66" s="6" t="s">
        <v>320</v>
      </c>
      <c r="J66" s="7" t="s">
        <v>20</v>
      </c>
      <c r="K66" s="6"/>
      <c r="L66" s="6"/>
    </row>
    <row r="67" customFormat="false" ht="23.85" hidden="false" customHeight="false" outlineLevel="0" collapsed="false">
      <c r="A67" s="6" t="s">
        <v>332</v>
      </c>
      <c r="B67" s="6" t="s">
        <v>315</v>
      </c>
      <c r="C67" s="6" t="s">
        <v>333</v>
      </c>
      <c r="D67" s="6" t="s">
        <v>334</v>
      </c>
      <c r="E67" s="6" t="s">
        <v>78</v>
      </c>
      <c r="F67" s="6" t="s">
        <v>325</v>
      </c>
      <c r="G67" s="6" t="s">
        <v>319</v>
      </c>
      <c r="H67" s="6" t="str">
        <f aca="false">IFERROR(INDEX(Sources!$B:$B,MATCH(G67,Sources!$A:$A,0)),"")</f>
        <v>Ng &amp; Reaz 2017</v>
      </c>
      <c r="I67" s="6" t="s">
        <v>320</v>
      </c>
      <c r="J67" s="7" t="s">
        <v>20</v>
      </c>
      <c r="K67" s="6"/>
      <c r="L67" s="6"/>
    </row>
    <row r="68" customFormat="false" ht="23.85" hidden="false" customHeight="false" outlineLevel="0" collapsed="false">
      <c r="A68" s="6" t="s">
        <v>335</v>
      </c>
      <c r="B68" s="6" t="s">
        <v>315</v>
      </c>
      <c r="C68" s="6" t="s">
        <v>336</v>
      </c>
      <c r="D68" s="6" t="s">
        <v>337</v>
      </c>
      <c r="E68" s="6" t="s">
        <v>78</v>
      </c>
      <c r="F68" s="6" t="s">
        <v>325</v>
      </c>
      <c r="G68" s="6" t="s">
        <v>319</v>
      </c>
      <c r="H68" s="6" t="str">
        <f aca="false">IFERROR(INDEX(Sources!$B:$B,MATCH(G68,Sources!$A:$A,0)),"")</f>
        <v>Ng &amp; Reaz 2017</v>
      </c>
      <c r="I68" s="6" t="s">
        <v>320</v>
      </c>
      <c r="J68" s="9" t="s">
        <v>23</v>
      </c>
      <c r="K68" s="6"/>
      <c r="L68" s="6"/>
    </row>
    <row r="69" customFormat="false" ht="15" hidden="false" customHeight="false" outlineLevel="0" collapsed="false">
      <c r="A69" s="6" t="s">
        <v>338</v>
      </c>
      <c r="B69" s="6" t="s">
        <v>68</v>
      </c>
      <c r="C69" s="6" t="s">
        <v>339</v>
      </c>
      <c r="D69" s="8" t="n">
        <v>2.1</v>
      </c>
      <c r="E69" s="6" t="s">
        <v>196</v>
      </c>
      <c r="F69" s="6" t="s">
        <v>340</v>
      </c>
      <c r="G69" s="6" t="s">
        <v>341</v>
      </c>
      <c r="H69" s="6" t="str">
        <f aca="false">IFERROR(INDEX(Sources!$B:$B,MATCH(G69,Sources!$A:$A,0)),"")</f>
        <v>Avlani et al. 2020</v>
      </c>
      <c r="I69" s="6" t="s">
        <v>342</v>
      </c>
      <c r="J69" s="7" t="s">
        <v>20</v>
      </c>
      <c r="K69" s="6" t="s">
        <v>343</v>
      </c>
      <c r="L69" s="6"/>
    </row>
    <row r="70" customFormat="false" ht="35.05" hidden="false" customHeight="false" outlineLevel="0" collapsed="false">
      <c r="A70" s="6" t="s">
        <v>344</v>
      </c>
      <c r="B70" s="6" t="s">
        <v>87</v>
      </c>
      <c r="C70" s="6" t="s">
        <v>345</v>
      </c>
      <c r="D70" s="6" t="s">
        <v>346</v>
      </c>
      <c r="E70" s="6" t="s">
        <v>78</v>
      </c>
      <c r="F70" s="6"/>
      <c r="G70" s="6" t="s">
        <v>341</v>
      </c>
      <c r="H70" s="6" t="str">
        <f aca="false">IFERROR(INDEX(Sources!$B:$B,MATCH(G70,Sources!$A:$A,0)),"")</f>
        <v>Avlani et al. 2020</v>
      </c>
      <c r="I70" s="6" t="s">
        <v>204</v>
      </c>
      <c r="J70" s="7" t="s">
        <v>20</v>
      </c>
      <c r="K70" s="6" t="s">
        <v>347</v>
      </c>
      <c r="L70" s="6"/>
    </row>
    <row r="71" customFormat="false" ht="23.85" hidden="false" customHeight="false" outlineLevel="0" collapsed="false">
      <c r="A71" s="6" t="s">
        <v>348</v>
      </c>
      <c r="B71" s="6" t="s">
        <v>91</v>
      </c>
      <c r="C71" s="6" t="s">
        <v>349</v>
      </c>
      <c r="D71" s="6" t="s">
        <v>70</v>
      </c>
      <c r="E71" s="6" t="s">
        <v>196</v>
      </c>
      <c r="F71" s="6" t="s">
        <v>350</v>
      </c>
      <c r="G71" s="6" t="s">
        <v>351</v>
      </c>
      <c r="H71" s="6" t="str">
        <f aca="false">IFERROR(INDEX(Sources!$B:$B,MATCH(G71,Sources!$A:$A,0)),"")</f>
        <v>Capacitive sensing survey 2024</v>
      </c>
      <c r="I71" s="6" t="s">
        <v>352</v>
      </c>
      <c r="J71" s="9" t="s">
        <v>23</v>
      </c>
      <c r="K71" s="6"/>
      <c r="L71" s="6"/>
    </row>
    <row r="72" customFormat="false" ht="23.85" hidden="false" customHeight="false" outlineLevel="0" collapsed="false">
      <c r="A72" s="6" t="s">
        <v>353</v>
      </c>
      <c r="B72" s="6" t="s">
        <v>177</v>
      </c>
      <c r="C72" s="6" t="s">
        <v>354</v>
      </c>
      <c r="D72" s="6" t="s">
        <v>355</v>
      </c>
      <c r="E72" s="6" t="s">
        <v>78</v>
      </c>
      <c r="F72" s="6" t="s">
        <v>179</v>
      </c>
      <c r="G72" s="6" t="s">
        <v>351</v>
      </c>
      <c r="H72" s="6" t="str">
        <f aca="false">IFERROR(INDEX(Sources!$B:$B,MATCH(G72,Sources!$A:$A,0)),"")</f>
        <v>Capacitive sensing survey 2024</v>
      </c>
      <c r="I72" s="6" t="s">
        <v>356</v>
      </c>
      <c r="J72" s="7" t="s">
        <v>20</v>
      </c>
      <c r="K72" s="6" t="s">
        <v>357</v>
      </c>
      <c r="L72" s="6"/>
    </row>
    <row r="73" customFormat="false" ht="15" hidden="false" customHeight="false" outlineLevel="0" collapsed="false">
      <c r="A73" s="6" t="s">
        <v>358</v>
      </c>
      <c r="B73" s="6" t="s">
        <v>98</v>
      </c>
      <c r="C73" s="6" t="s">
        <v>359</v>
      </c>
      <c r="D73" s="8" t="n">
        <v>2.68</v>
      </c>
      <c r="E73" s="6" t="s">
        <v>360</v>
      </c>
      <c r="F73" s="6" t="s">
        <v>361</v>
      </c>
      <c r="G73" s="6" t="s">
        <v>362</v>
      </c>
      <c r="H73" s="6" t="str">
        <f aca="false">IFERROR(INDEX(Sources!$B:$B,MATCH(G73,Sources!$A:$A,0)),"")</f>
        <v>Goyal et al. 2022</v>
      </c>
      <c r="I73" s="6" t="s">
        <v>162</v>
      </c>
      <c r="J73" s="11" t="s">
        <v>21</v>
      </c>
      <c r="K73" s="6"/>
      <c r="L73" s="6" t="s">
        <v>363</v>
      </c>
    </row>
    <row r="74" customFormat="false" ht="15" hidden="false" customHeight="false" outlineLevel="0" collapsed="false">
      <c r="A74" s="6" t="s">
        <v>364</v>
      </c>
      <c r="B74" s="6" t="s">
        <v>98</v>
      </c>
      <c r="C74" s="6" t="s">
        <v>365</v>
      </c>
      <c r="D74" s="8" t="n">
        <v>2.06</v>
      </c>
      <c r="E74" s="6" t="s">
        <v>360</v>
      </c>
      <c r="F74" s="6" t="s">
        <v>366</v>
      </c>
      <c r="G74" s="6" t="s">
        <v>362</v>
      </c>
      <c r="H74" s="6" t="str">
        <f aca="false">IFERROR(INDEX(Sources!$B:$B,MATCH(G74,Sources!$A:$A,0)),"")</f>
        <v>Goyal et al. 2022</v>
      </c>
      <c r="I74" s="6" t="s">
        <v>162</v>
      </c>
      <c r="J74" s="11" t="s">
        <v>21</v>
      </c>
      <c r="K74" s="6"/>
      <c r="L74" s="6"/>
    </row>
    <row r="75" customFormat="false" ht="15" hidden="false" customHeight="false" outlineLevel="0" collapsed="false">
      <c r="A75" s="6" t="s">
        <v>367</v>
      </c>
      <c r="B75" s="6" t="s">
        <v>98</v>
      </c>
      <c r="C75" s="6" t="s">
        <v>368</v>
      </c>
      <c r="D75" s="8" t="n">
        <v>6.4</v>
      </c>
      <c r="E75" s="6" t="s">
        <v>360</v>
      </c>
      <c r="F75" s="6" t="s">
        <v>369</v>
      </c>
      <c r="G75" s="6" t="s">
        <v>362</v>
      </c>
      <c r="H75" s="6" t="str">
        <f aca="false">IFERROR(INDEX(Sources!$B:$B,MATCH(G75,Sources!$A:$A,0)),"")</f>
        <v>Goyal et al. 2022</v>
      </c>
      <c r="I75" s="6" t="s">
        <v>217</v>
      </c>
      <c r="J75" s="11" t="s">
        <v>21</v>
      </c>
      <c r="K75" s="6"/>
      <c r="L75" s="6"/>
    </row>
    <row r="76" customFormat="false" ht="23.85" hidden="false" customHeight="false" outlineLevel="0" collapsed="false">
      <c r="A76" s="6" t="s">
        <v>370</v>
      </c>
      <c r="B76" s="6" t="s">
        <v>98</v>
      </c>
      <c r="C76" s="6" t="s">
        <v>371</v>
      </c>
      <c r="D76" s="8" t="n">
        <v>3</v>
      </c>
      <c r="E76" s="6" t="s">
        <v>360</v>
      </c>
      <c r="F76" s="6" t="s">
        <v>369</v>
      </c>
      <c r="G76" s="6" t="s">
        <v>362</v>
      </c>
      <c r="H76" s="6" t="str">
        <f aca="false">IFERROR(INDEX(Sources!$B:$B,MATCH(G76,Sources!$A:$A,0)),"")</f>
        <v>Goyal et al. 2022</v>
      </c>
      <c r="I76" s="6" t="s">
        <v>217</v>
      </c>
      <c r="J76" s="11" t="s">
        <v>21</v>
      </c>
      <c r="K76" s="6"/>
      <c r="L76" s="6"/>
    </row>
    <row r="77" customFormat="false" ht="15" hidden="false" customHeight="false" outlineLevel="0" collapsed="false">
      <c r="A77" s="6" t="s">
        <v>372</v>
      </c>
      <c r="B77" s="6" t="s">
        <v>98</v>
      </c>
      <c r="C77" s="6" t="s">
        <v>373</v>
      </c>
      <c r="D77" s="8" t="n">
        <v>41</v>
      </c>
      <c r="E77" s="6" t="s">
        <v>305</v>
      </c>
      <c r="F77" s="6" t="s">
        <v>369</v>
      </c>
      <c r="G77" s="6" t="s">
        <v>362</v>
      </c>
      <c r="H77" s="6" t="str">
        <f aca="false">IFERROR(INDEX(Sources!$B:$B,MATCH(G77,Sources!$A:$A,0)),"")</f>
        <v>Goyal et al. 2022</v>
      </c>
      <c r="I77" s="6" t="s">
        <v>217</v>
      </c>
      <c r="J77" s="11" t="s">
        <v>21</v>
      </c>
      <c r="K77" s="6"/>
      <c r="L77" s="6"/>
    </row>
    <row r="78" customFormat="false" ht="23.85" hidden="false" customHeight="false" outlineLevel="0" collapsed="false">
      <c r="A78" s="6" t="s">
        <v>374</v>
      </c>
      <c r="B78" s="6" t="s">
        <v>98</v>
      </c>
      <c r="C78" s="6" t="s">
        <v>375</v>
      </c>
      <c r="D78" s="8" t="n">
        <v>190</v>
      </c>
      <c r="E78" s="6" t="s">
        <v>305</v>
      </c>
      <c r="F78" s="6" t="s">
        <v>369</v>
      </c>
      <c r="G78" s="6" t="s">
        <v>362</v>
      </c>
      <c r="H78" s="6" t="str">
        <f aca="false">IFERROR(INDEX(Sources!$B:$B,MATCH(G78,Sources!$A:$A,0)),"")</f>
        <v>Goyal et al. 2022</v>
      </c>
      <c r="I78" s="6" t="s">
        <v>217</v>
      </c>
      <c r="J78" s="11" t="s">
        <v>21</v>
      </c>
      <c r="K78" s="6"/>
      <c r="L78" s="6"/>
    </row>
    <row r="79" customFormat="false" ht="23.85" hidden="false" customHeight="false" outlineLevel="0" collapsed="false">
      <c r="A79" s="6" t="s">
        <v>376</v>
      </c>
      <c r="B79" s="6" t="s">
        <v>98</v>
      </c>
      <c r="C79" s="6" t="s">
        <v>377</v>
      </c>
      <c r="D79" s="6" t="s">
        <v>378</v>
      </c>
      <c r="E79" s="6" t="s">
        <v>305</v>
      </c>
      <c r="F79" s="6" t="s">
        <v>369</v>
      </c>
      <c r="G79" s="6" t="s">
        <v>362</v>
      </c>
      <c r="H79" s="6" t="str">
        <f aca="false">IFERROR(INDEX(Sources!$B:$B,MATCH(G79,Sources!$A:$A,0)),"")</f>
        <v>Goyal et al. 2022</v>
      </c>
      <c r="I79" s="6" t="s">
        <v>217</v>
      </c>
      <c r="J79" s="11" t="s">
        <v>21</v>
      </c>
      <c r="K79" s="6"/>
      <c r="L79" s="6" t="s">
        <v>379</v>
      </c>
    </row>
    <row r="80" customFormat="false" ht="23.85" hidden="false" customHeight="false" outlineLevel="0" collapsed="false">
      <c r="A80" s="6" t="s">
        <v>380</v>
      </c>
      <c r="B80" s="6" t="s">
        <v>98</v>
      </c>
      <c r="C80" s="6" t="s">
        <v>381</v>
      </c>
      <c r="D80" s="6" t="s">
        <v>382</v>
      </c>
      <c r="E80" s="6" t="s">
        <v>78</v>
      </c>
      <c r="F80" s="6"/>
      <c r="G80" s="6" t="s">
        <v>362</v>
      </c>
      <c r="H80" s="6" t="str">
        <f aca="false">IFERROR(INDEX(Sources!$B:$B,MATCH(G80,Sources!$A:$A,0)),"")</f>
        <v>Goyal et al. 2022</v>
      </c>
      <c r="I80" s="6" t="s">
        <v>162</v>
      </c>
      <c r="J80" s="11" t="s">
        <v>21</v>
      </c>
      <c r="K80" s="6"/>
      <c r="L80" s="6"/>
    </row>
    <row r="81" customFormat="false" ht="15" hidden="false" customHeight="false" outlineLevel="0" collapsed="false">
      <c r="A81" s="6" t="s">
        <v>383</v>
      </c>
      <c r="B81" s="6" t="s">
        <v>98</v>
      </c>
      <c r="C81" s="6" t="s">
        <v>384</v>
      </c>
      <c r="D81" s="6" t="s">
        <v>385</v>
      </c>
      <c r="E81" s="6" t="s">
        <v>78</v>
      </c>
      <c r="F81" s="6"/>
      <c r="G81" s="6" t="s">
        <v>362</v>
      </c>
      <c r="H81" s="6" t="str">
        <f aca="false">IFERROR(INDEX(Sources!$B:$B,MATCH(G81,Sources!$A:$A,0)),"")</f>
        <v>Goyal et al. 2022</v>
      </c>
      <c r="I81" s="6" t="s">
        <v>162</v>
      </c>
      <c r="J81" s="11" t="s">
        <v>21</v>
      </c>
      <c r="K81" s="6"/>
      <c r="L81" s="6"/>
    </row>
    <row r="82" customFormat="false" ht="15" hidden="false" customHeight="false" outlineLevel="0" collapsed="false">
      <c r="A82" s="6" t="s">
        <v>386</v>
      </c>
      <c r="B82" s="6" t="s">
        <v>98</v>
      </c>
      <c r="C82" s="6" t="s">
        <v>387</v>
      </c>
      <c r="D82" s="6" t="s">
        <v>388</v>
      </c>
      <c r="E82" s="6" t="s">
        <v>44</v>
      </c>
      <c r="F82" s="6"/>
      <c r="G82" s="6" t="s">
        <v>362</v>
      </c>
      <c r="H82" s="6" t="str">
        <f aca="false">IFERROR(INDEX(Sources!$B:$B,MATCH(G82,Sources!$A:$A,0)),"")</f>
        <v>Goyal et al. 2022</v>
      </c>
      <c r="I82" s="6" t="s">
        <v>389</v>
      </c>
      <c r="J82" s="9" t="s">
        <v>23</v>
      </c>
      <c r="K82" s="6"/>
      <c r="L82" s="6" t="s">
        <v>390</v>
      </c>
    </row>
    <row r="83" customFormat="false" ht="15" hidden="false" customHeight="false" outlineLevel="0" collapsed="false">
      <c r="A83" s="6" t="s">
        <v>391</v>
      </c>
      <c r="B83" s="6" t="s">
        <v>87</v>
      </c>
      <c r="C83" s="6" t="s">
        <v>392</v>
      </c>
      <c r="D83" s="8" t="n">
        <v>0.3642</v>
      </c>
      <c r="E83" s="6" t="s">
        <v>78</v>
      </c>
      <c r="F83" s="6" t="s">
        <v>393</v>
      </c>
      <c r="G83" s="6" t="s">
        <v>394</v>
      </c>
      <c r="H83" s="6" t="str">
        <f aca="false">IFERROR(INDEX(Sources!$B:$B,MATCH(G83,Sources!$A:$A,0)),"")</f>
        <v>Datta et al. 2020</v>
      </c>
      <c r="I83" s="6" t="s">
        <v>395</v>
      </c>
      <c r="J83" s="11" t="s">
        <v>21</v>
      </c>
      <c r="K83" s="6"/>
      <c r="L83" s="6" t="s">
        <v>396</v>
      </c>
    </row>
    <row r="84" customFormat="false" ht="15" hidden="false" customHeight="false" outlineLevel="0" collapsed="false">
      <c r="A84" s="6" t="s">
        <v>397</v>
      </c>
      <c r="B84" s="6" t="s">
        <v>87</v>
      </c>
      <c r="C84" s="6" t="s">
        <v>398</v>
      </c>
      <c r="D84" s="8" t="n">
        <v>0.2139</v>
      </c>
      <c r="E84" s="6" t="s">
        <v>78</v>
      </c>
      <c r="F84" s="6"/>
      <c r="G84" s="6" t="s">
        <v>394</v>
      </c>
      <c r="H84" s="6" t="str">
        <f aca="false">IFERROR(INDEX(Sources!$B:$B,MATCH(G84,Sources!$A:$A,0)),"")</f>
        <v>Datta et al. 2020</v>
      </c>
      <c r="I84" s="6" t="s">
        <v>395</v>
      </c>
      <c r="J84" s="11" t="s">
        <v>21</v>
      </c>
      <c r="K84" s="6"/>
      <c r="L84" s="6"/>
    </row>
    <row r="85" customFormat="false" ht="15" hidden="false" customHeight="false" outlineLevel="0" collapsed="false">
      <c r="A85" s="6" t="s">
        <v>399</v>
      </c>
      <c r="B85" s="6" t="s">
        <v>87</v>
      </c>
      <c r="C85" s="6" t="s">
        <v>400</v>
      </c>
      <c r="D85" s="8" t="n">
        <v>0.0588</v>
      </c>
      <c r="E85" s="6" t="s">
        <v>78</v>
      </c>
      <c r="F85" s="6"/>
      <c r="G85" s="6" t="s">
        <v>394</v>
      </c>
      <c r="H85" s="6" t="str">
        <f aca="false">IFERROR(INDEX(Sources!$B:$B,MATCH(G85,Sources!$A:$A,0)),"")</f>
        <v>Datta et al. 2020</v>
      </c>
      <c r="I85" s="6" t="s">
        <v>395</v>
      </c>
      <c r="J85" s="11" t="s">
        <v>21</v>
      </c>
      <c r="K85" s="6"/>
      <c r="L85" s="6"/>
    </row>
    <row r="86" customFormat="false" ht="15" hidden="false" customHeight="false" outlineLevel="0" collapsed="false">
      <c r="A86" s="6" t="s">
        <v>401</v>
      </c>
      <c r="B86" s="6" t="s">
        <v>87</v>
      </c>
      <c r="C86" s="6" t="s">
        <v>402</v>
      </c>
      <c r="D86" s="8" t="n">
        <v>0.1457</v>
      </c>
      <c r="E86" s="6" t="s">
        <v>78</v>
      </c>
      <c r="F86" s="6"/>
      <c r="G86" s="6" t="s">
        <v>394</v>
      </c>
      <c r="H86" s="6" t="str">
        <f aca="false">IFERROR(INDEX(Sources!$B:$B,MATCH(G86,Sources!$A:$A,0)),"")</f>
        <v>Datta et al. 2020</v>
      </c>
      <c r="I86" s="6" t="s">
        <v>395</v>
      </c>
      <c r="J86" s="11" t="s">
        <v>21</v>
      </c>
      <c r="K86" s="6"/>
      <c r="L86" s="6"/>
    </row>
    <row r="87" customFormat="false" ht="15" hidden="false" customHeight="false" outlineLevel="0" collapsed="false">
      <c r="A87" s="6" t="s">
        <v>403</v>
      </c>
      <c r="B87" s="6" t="s">
        <v>87</v>
      </c>
      <c r="C87" s="6" t="s">
        <v>404</v>
      </c>
      <c r="D87" s="6" t="s">
        <v>405</v>
      </c>
      <c r="E87" s="6" t="s">
        <v>196</v>
      </c>
      <c r="F87" s="6" t="s">
        <v>406</v>
      </c>
      <c r="G87" s="6" t="s">
        <v>394</v>
      </c>
      <c r="H87" s="6" t="str">
        <f aca="false">IFERROR(INDEX(Sources!$B:$B,MATCH(G87,Sources!$A:$A,0)),"")</f>
        <v>Datta et al. 2020</v>
      </c>
      <c r="I87" s="6" t="s">
        <v>407</v>
      </c>
      <c r="J87" s="11" t="s">
        <v>21</v>
      </c>
      <c r="K87" s="6"/>
      <c r="L87" s="6"/>
    </row>
    <row r="88" customFormat="false" ht="15" hidden="false" customHeight="false" outlineLevel="0" collapsed="false">
      <c r="A88" s="6" t="s">
        <v>408</v>
      </c>
      <c r="B88" s="6" t="s">
        <v>87</v>
      </c>
      <c r="C88" s="6" t="s">
        <v>409</v>
      </c>
      <c r="D88" s="6" t="s">
        <v>313</v>
      </c>
      <c r="E88" s="6" t="s">
        <v>196</v>
      </c>
      <c r="F88" s="6"/>
      <c r="G88" s="6" t="s">
        <v>394</v>
      </c>
      <c r="H88" s="6" t="str">
        <f aca="false">IFERROR(INDEX(Sources!$B:$B,MATCH(G88,Sources!$A:$A,0)),"")</f>
        <v>Datta et al. 2020</v>
      </c>
      <c r="I88" s="6" t="s">
        <v>410</v>
      </c>
      <c r="J88" s="11" t="s">
        <v>21</v>
      </c>
      <c r="K88" s="6"/>
      <c r="L88" s="6"/>
    </row>
    <row r="89" customFormat="false" ht="15" hidden="false" customHeight="false" outlineLevel="0" collapsed="false">
      <c r="A89" s="6" t="s">
        <v>411</v>
      </c>
      <c r="B89" s="6" t="s">
        <v>91</v>
      </c>
      <c r="C89" s="6" t="s">
        <v>412</v>
      </c>
      <c r="D89" s="6" t="s">
        <v>413</v>
      </c>
      <c r="E89" s="6" t="s">
        <v>78</v>
      </c>
      <c r="F89" s="6"/>
      <c r="G89" s="6" t="s">
        <v>394</v>
      </c>
      <c r="H89" s="6" t="str">
        <f aca="false">IFERROR(INDEX(Sources!$B:$B,MATCH(G89,Sources!$A:$A,0)),"")</f>
        <v>Datta et al. 2020</v>
      </c>
      <c r="I89" s="6" t="s">
        <v>407</v>
      </c>
      <c r="J89" s="9" t="s">
        <v>23</v>
      </c>
      <c r="K89" s="6"/>
      <c r="L89" s="6"/>
    </row>
    <row r="90" customFormat="false" ht="23.85" hidden="false" customHeight="false" outlineLevel="0" collapsed="false">
      <c r="A90" s="6" t="s">
        <v>414</v>
      </c>
      <c r="B90" s="6" t="s">
        <v>415</v>
      </c>
      <c r="C90" s="6" t="s">
        <v>416</v>
      </c>
      <c r="D90" s="8" t="n">
        <v>21</v>
      </c>
      <c r="E90" s="6" t="s">
        <v>196</v>
      </c>
      <c r="F90" s="6" t="s">
        <v>417</v>
      </c>
      <c r="G90" s="6" t="s">
        <v>418</v>
      </c>
      <c r="H90" s="6" t="str">
        <f aca="false">IFERROR(INDEX(Sources!$B:$B,MATCH(G90,Sources!$A:$A,0)),"")</f>
        <v>Nath et al. 2021</v>
      </c>
      <c r="I90" s="6" t="s">
        <v>419</v>
      </c>
      <c r="J90" s="11" t="s">
        <v>21</v>
      </c>
      <c r="K90" s="6"/>
      <c r="L90" s="6" t="s">
        <v>420</v>
      </c>
    </row>
    <row r="91" customFormat="false" ht="15" hidden="false" customHeight="false" outlineLevel="0" collapsed="false">
      <c r="A91" s="6" t="s">
        <v>421</v>
      </c>
      <c r="B91" s="6" t="s">
        <v>415</v>
      </c>
      <c r="C91" s="6" t="s">
        <v>422</v>
      </c>
      <c r="D91" s="8" t="n">
        <v>6.6</v>
      </c>
      <c r="E91" s="6" t="s">
        <v>196</v>
      </c>
      <c r="F91" s="6" t="s">
        <v>417</v>
      </c>
      <c r="G91" s="6" t="s">
        <v>418</v>
      </c>
      <c r="H91" s="6" t="str">
        <f aca="false">IFERROR(INDEX(Sources!$B:$B,MATCH(G91,Sources!$A:$A,0)),"")</f>
        <v>Nath et al. 2021</v>
      </c>
      <c r="I91" s="6" t="s">
        <v>204</v>
      </c>
      <c r="J91" s="11" t="s">
        <v>21</v>
      </c>
      <c r="K91" s="6"/>
      <c r="L91" s="6"/>
    </row>
    <row r="92" customFormat="false" ht="15" hidden="false" customHeight="false" outlineLevel="0" collapsed="false">
      <c r="A92" s="6" t="s">
        <v>423</v>
      </c>
      <c r="B92" s="6" t="s">
        <v>91</v>
      </c>
      <c r="C92" s="6" t="s">
        <v>424</v>
      </c>
      <c r="D92" s="8" t="n">
        <v>150</v>
      </c>
      <c r="E92" s="6" t="s">
        <v>196</v>
      </c>
      <c r="F92" s="6" t="s">
        <v>425</v>
      </c>
      <c r="G92" s="6" t="s">
        <v>418</v>
      </c>
      <c r="H92" s="6" t="str">
        <f aca="false">IFERROR(INDEX(Sources!$B:$B,MATCH(G92,Sources!$A:$A,0)),"")</f>
        <v>Nath et al. 2021</v>
      </c>
      <c r="I92" s="6" t="s">
        <v>204</v>
      </c>
      <c r="J92" s="9" t="s">
        <v>23</v>
      </c>
      <c r="K92" s="6" t="s">
        <v>426</v>
      </c>
      <c r="L92" s="6"/>
    </row>
    <row r="93" customFormat="false" ht="15" hidden="false" customHeight="false" outlineLevel="0" collapsed="false">
      <c r="A93" s="6" t="s">
        <v>427</v>
      </c>
      <c r="B93" s="6" t="s">
        <v>428</v>
      </c>
      <c r="C93" s="6" t="s">
        <v>429</v>
      </c>
      <c r="D93" s="6" t="s">
        <v>430</v>
      </c>
      <c r="E93" s="6" t="s">
        <v>431</v>
      </c>
      <c r="F93" s="6" t="s">
        <v>432</v>
      </c>
      <c r="G93" s="6" t="s">
        <v>433</v>
      </c>
      <c r="H93" s="6" t="str">
        <f aca="false">IFERROR(INDEX(Sources!$B:$B,MATCH(G93,Sources!$A:$A,0)),"")</f>
        <v>Agarwal &amp; Sahu 2010</v>
      </c>
      <c r="I93" s="6" t="s">
        <v>162</v>
      </c>
      <c r="J93" s="11" t="s">
        <v>21</v>
      </c>
      <c r="K93" s="6"/>
      <c r="L93" s="6" t="s">
        <v>434</v>
      </c>
    </row>
    <row r="94" customFormat="false" ht="15" hidden="false" customHeight="false" outlineLevel="0" collapsed="false">
      <c r="A94" s="6" t="s">
        <v>435</v>
      </c>
      <c r="B94" s="6" t="s">
        <v>428</v>
      </c>
      <c r="C94" s="6" t="s">
        <v>436</v>
      </c>
      <c r="D94" s="6" t="s">
        <v>437</v>
      </c>
      <c r="E94" s="6" t="s">
        <v>431</v>
      </c>
      <c r="F94" s="6" t="s">
        <v>438</v>
      </c>
      <c r="G94" s="6" t="s">
        <v>433</v>
      </c>
      <c r="H94" s="6" t="str">
        <f aca="false">IFERROR(INDEX(Sources!$B:$B,MATCH(G94,Sources!$A:$A,0)),"")</f>
        <v>Agarwal &amp; Sahu 2010</v>
      </c>
      <c r="I94" s="6" t="s">
        <v>162</v>
      </c>
      <c r="J94" s="11" t="s">
        <v>21</v>
      </c>
      <c r="K94" s="6"/>
      <c r="L94" s="6"/>
    </row>
    <row r="95" customFormat="false" ht="15" hidden="false" customHeight="false" outlineLevel="0" collapsed="false">
      <c r="A95" s="6" t="s">
        <v>439</v>
      </c>
      <c r="B95" s="6" t="s">
        <v>428</v>
      </c>
      <c r="C95" s="6" t="s">
        <v>440</v>
      </c>
      <c r="D95" s="6" t="s">
        <v>441</v>
      </c>
      <c r="E95" s="6" t="s">
        <v>431</v>
      </c>
      <c r="F95" s="6"/>
      <c r="G95" s="6" t="s">
        <v>433</v>
      </c>
      <c r="H95" s="6" t="str">
        <f aca="false">IFERROR(INDEX(Sources!$B:$B,MATCH(G95,Sources!$A:$A,0)),"")</f>
        <v>Agarwal &amp; Sahu 2010</v>
      </c>
      <c r="I95" s="6" t="s">
        <v>162</v>
      </c>
      <c r="J95" s="11" t="s">
        <v>21</v>
      </c>
      <c r="K95" s="6"/>
      <c r="L95" s="6"/>
    </row>
    <row r="96" customFormat="false" ht="15" hidden="false" customHeight="false" outlineLevel="0" collapsed="false">
      <c r="A96" s="6" t="s">
        <v>442</v>
      </c>
      <c r="B96" s="6" t="s">
        <v>428</v>
      </c>
      <c r="C96" s="6" t="s">
        <v>443</v>
      </c>
      <c r="D96" s="6" t="s">
        <v>444</v>
      </c>
      <c r="E96" s="6" t="s">
        <v>431</v>
      </c>
      <c r="F96" s="6"/>
      <c r="G96" s="6" t="s">
        <v>433</v>
      </c>
      <c r="H96" s="6" t="str">
        <f aca="false">IFERROR(INDEX(Sources!$B:$B,MATCH(G96,Sources!$A:$A,0)),"")</f>
        <v>Agarwal &amp; Sahu 2010</v>
      </c>
      <c r="I96" s="6" t="s">
        <v>162</v>
      </c>
      <c r="J96" s="11" t="s">
        <v>21</v>
      </c>
      <c r="K96" s="6"/>
      <c r="L96" s="6"/>
    </row>
    <row r="97" customFormat="false" ht="15" hidden="false" customHeight="false" outlineLevel="0" collapsed="false">
      <c r="A97" s="6" t="s">
        <v>445</v>
      </c>
      <c r="B97" s="6" t="s">
        <v>428</v>
      </c>
      <c r="C97" s="6" t="s">
        <v>446</v>
      </c>
      <c r="D97" s="6" t="s">
        <v>447</v>
      </c>
      <c r="E97" s="6" t="s">
        <v>113</v>
      </c>
      <c r="F97" s="6" t="s">
        <v>448</v>
      </c>
      <c r="G97" s="6" t="s">
        <v>433</v>
      </c>
      <c r="H97" s="6" t="str">
        <f aca="false">IFERROR(INDEX(Sources!$B:$B,MATCH(G97,Sources!$A:$A,0)),"")</f>
        <v>Agarwal &amp; Sahu 2010</v>
      </c>
      <c r="I97" s="6" t="s">
        <v>162</v>
      </c>
      <c r="J97" s="9" t="s">
        <v>23</v>
      </c>
      <c r="K97" s="6"/>
      <c r="L97" s="6"/>
    </row>
    <row r="98" customFormat="false" ht="15" hidden="false" customHeight="false" outlineLevel="0" collapsed="false">
      <c r="A98" s="6" t="s">
        <v>449</v>
      </c>
      <c r="B98" s="6" t="s">
        <v>450</v>
      </c>
      <c r="C98" s="6" t="s">
        <v>451</v>
      </c>
      <c r="D98" s="6" t="s">
        <v>452</v>
      </c>
      <c r="E98" s="6" t="s">
        <v>196</v>
      </c>
      <c r="F98" s="6"/>
      <c r="G98" s="6" t="s">
        <v>453</v>
      </c>
      <c r="H98" s="6" t="str">
        <f aca="false">IFERROR(INDEX(Sources!$B:$B,MATCH(G98,Sources!$A:$A,0)),"")</f>
        <v>TI SNOA926 2015</v>
      </c>
      <c r="I98" s="6" t="s">
        <v>454</v>
      </c>
      <c r="J98" s="9" t="s">
        <v>23</v>
      </c>
      <c r="K98" s="6"/>
      <c r="L98" s="6"/>
    </row>
    <row r="99" customFormat="false" ht="23.85" hidden="false" customHeight="false" outlineLevel="0" collapsed="false">
      <c r="A99" s="6" t="s">
        <v>455</v>
      </c>
      <c r="B99" s="6" t="s">
        <v>450</v>
      </c>
      <c r="C99" s="6" t="s">
        <v>456</v>
      </c>
      <c r="D99" s="6" t="s">
        <v>457</v>
      </c>
      <c r="E99" s="6" t="s">
        <v>458</v>
      </c>
      <c r="F99" s="6" t="s">
        <v>459</v>
      </c>
      <c r="G99" s="6" t="s">
        <v>453</v>
      </c>
      <c r="H99" s="6" t="str">
        <f aca="false">IFERROR(INDEX(Sources!$B:$B,MATCH(G99,Sources!$A:$A,0)),"")</f>
        <v>TI SNOA926 2015</v>
      </c>
      <c r="I99" s="6" t="s">
        <v>210</v>
      </c>
      <c r="J99" s="11" t="s">
        <v>21</v>
      </c>
      <c r="K99" s="6"/>
      <c r="L99" s="6" t="s">
        <v>460</v>
      </c>
    </row>
    <row r="100" customFormat="false" ht="15" hidden="false" customHeight="false" outlineLevel="0" collapsed="false">
      <c r="A100" s="6" t="s">
        <v>461</v>
      </c>
      <c r="B100" s="6" t="s">
        <v>450</v>
      </c>
      <c r="C100" s="6" t="s">
        <v>462</v>
      </c>
      <c r="D100" s="6" t="s">
        <v>463</v>
      </c>
      <c r="E100" s="6" t="s">
        <v>458</v>
      </c>
      <c r="F100" s="6" t="s">
        <v>464</v>
      </c>
      <c r="G100" s="6" t="s">
        <v>453</v>
      </c>
      <c r="H100" s="6" t="str">
        <f aca="false">IFERROR(INDEX(Sources!$B:$B,MATCH(G100,Sources!$A:$A,0)),"")</f>
        <v>TI SNOA926 2015</v>
      </c>
      <c r="I100" s="6" t="s">
        <v>210</v>
      </c>
      <c r="J100" s="11" t="s">
        <v>21</v>
      </c>
      <c r="K100" s="6"/>
      <c r="L100" s="6" t="s">
        <v>465</v>
      </c>
    </row>
    <row r="101" customFormat="false" ht="15" hidden="false" customHeight="false" outlineLevel="0" collapsed="false">
      <c r="A101" s="6" t="s">
        <v>466</v>
      </c>
      <c r="B101" s="6" t="s">
        <v>450</v>
      </c>
      <c r="C101" s="6" t="s">
        <v>467</v>
      </c>
      <c r="D101" s="6" t="s">
        <v>468</v>
      </c>
      <c r="E101" s="6" t="s">
        <v>458</v>
      </c>
      <c r="F101" s="6" t="s">
        <v>464</v>
      </c>
      <c r="G101" s="6" t="s">
        <v>453</v>
      </c>
      <c r="H101" s="6" t="str">
        <f aca="false">IFERROR(INDEX(Sources!$B:$B,MATCH(G101,Sources!$A:$A,0)),"")</f>
        <v>TI SNOA926 2015</v>
      </c>
      <c r="I101" s="6" t="s">
        <v>210</v>
      </c>
      <c r="J101" s="11" t="s">
        <v>21</v>
      </c>
      <c r="K101" s="6"/>
      <c r="L101" s="6"/>
    </row>
    <row r="102" customFormat="false" ht="15" hidden="false" customHeight="false" outlineLevel="0" collapsed="false">
      <c r="A102" s="6" t="s">
        <v>469</v>
      </c>
      <c r="B102" s="6" t="s">
        <v>450</v>
      </c>
      <c r="C102" s="6" t="s">
        <v>470</v>
      </c>
      <c r="D102" s="6" t="s">
        <v>471</v>
      </c>
      <c r="E102" s="6" t="s">
        <v>458</v>
      </c>
      <c r="F102" s="6" t="s">
        <v>464</v>
      </c>
      <c r="G102" s="6" t="s">
        <v>453</v>
      </c>
      <c r="H102" s="6" t="str">
        <f aca="false">IFERROR(INDEX(Sources!$B:$B,MATCH(G102,Sources!$A:$A,0)),"")</f>
        <v>TI SNOA926 2015</v>
      </c>
      <c r="I102" s="6" t="s">
        <v>210</v>
      </c>
      <c r="J102" s="9" t="s">
        <v>23</v>
      </c>
      <c r="K102" s="6"/>
      <c r="L102" s="6" t="s">
        <v>472</v>
      </c>
    </row>
    <row r="103" customFormat="false" ht="23.85" hidden="false" customHeight="false" outlineLevel="0" collapsed="false">
      <c r="A103" s="6" t="s">
        <v>473</v>
      </c>
      <c r="B103" s="6" t="s">
        <v>75</v>
      </c>
      <c r="C103" s="6" t="s">
        <v>474</v>
      </c>
      <c r="D103" s="6" t="s">
        <v>475</v>
      </c>
      <c r="E103" s="6" t="s">
        <v>476</v>
      </c>
      <c r="F103" s="6" t="s">
        <v>477</v>
      </c>
      <c r="G103" s="6" t="s">
        <v>478</v>
      </c>
      <c r="H103" s="6" t="str">
        <f aca="false">IFERROR(INDEX(Sources!$B:$B,MATCH(G103,Sources!$A:$A,0)),"")</f>
        <v>Hackaday ADC test</v>
      </c>
      <c r="I103" s="6" t="s">
        <v>162</v>
      </c>
      <c r="J103" s="11" t="s">
        <v>21</v>
      </c>
      <c r="K103" s="6"/>
      <c r="L103" s="6" t="s">
        <v>479</v>
      </c>
    </row>
    <row r="104" customFormat="false" ht="15" hidden="false" customHeight="false" outlineLevel="0" collapsed="false">
      <c r="A104" s="6" t="s">
        <v>480</v>
      </c>
      <c r="B104" s="6" t="s">
        <v>75</v>
      </c>
      <c r="C104" s="6" t="s">
        <v>481</v>
      </c>
      <c r="D104" s="6" t="s">
        <v>482</v>
      </c>
      <c r="E104" s="6" t="s">
        <v>476</v>
      </c>
      <c r="F104" s="6"/>
      <c r="G104" s="6" t="s">
        <v>478</v>
      </c>
      <c r="H104" s="6" t="str">
        <f aca="false">IFERROR(INDEX(Sources!$B:$B,MATCH(G104,Sources!$A:$A,0)),"")</f>
        <v>Hackaday ADC test</v>
      </c>
      <c r="I104" s="6" t="s">
        <v>162</v>
      </c>
      <c r="J104" s="9" t="s">
        <v>23</v>
      </c>
      <c r="K104" s="6"/>
      <c r="L104" s="6"/>
    </row>
    <row r="105" customFormat="false" ht="15" hidden="false" customHeight="false" outlineLevel="0" collapsed="false">
      <c r="A105" s="6" t="s">
        <v>483</v>
      </c>
      <c r="B105" s="6" t="s">
        <v>75</v>
      </c>
      <c r="C105" s="6" t="s">
        <v>484</v>
      </c>
      <c r="D105" s="6" t="s">
        <v>485</v>
      </c>
      <c r="E105" s="6" t="s">
        <v>476</v>
      </c>
      <c r="F105" s="6"/>
      <c r="G105" s="6" t="s">
        <v>478</v>
      </c>
      <c r="H105" s="6" t="str">
        <f aca="false">IFERROR(INDEX(Sources!$B:$B,MATCH(G105,Sources!$A:$A,0)),"")</f>
        <v>Hackaday ADC test</v>
      </c>
      <c r="I105" s="6" t="s">
        <v>162</v>
      </c>
      <c r="J105" s="9" t="s">
        <v>23</v>
      </c>
      <c r="K105" s="6"/>
      <c r="L105" s="6" t="s">
        <v>486</v>
      </c>
    </row>
    <row r="106" customFormat="false" ht="15" hidden="false" customHeight="false" outlineLevel="0" collapsed="false">
      <c r="A106" s="6" t="s">
        <v>487</v>
      </c>
      <c r="B106" s="6" t="s">
        <v>75</v>
      </c>
      <c r="C106" s="6" t="s">
        <v>488</v>
      </c>
      <c r="D106" s="6" t="s">
        <v>489</v>
      </c>
      <c r="E106" s="6" t="s">
        <v>476</v>
      </c>
      <c r="F106" s="6"/>
      <c r="G106" s="6" t="s">
        <v>490</v>
      </c>
      <c r="H106" s="6" t="str">
        <f aca="false">IFERROR(INDEX(Sources!$B:$B,MATCH(G106,Sources!$A:$A,0)),"")</f>
        <v>Espressif ADC blog 2025</v>
      </c>
      <c r="I106" s="6" t="s">
        <v>162</v>
      </c>
      <c r="J106" s="9" t="s">
        <v>23</v>
      </c>
      <c r="K106" s="6"/>
      <c r="L106" s="6" t="s">
        <v>491</v>
      </c>
    </row>
    <row r="107" customFormat="false" ht="15" hidden="false" customHeight="false" outlineLevel="0" collapsed="false">
      <c r="A107" s="6" t="s">
        <v>492</v>
      </c>
      <c r="B107" s="6" t="s">
        <v>75</v>
      </c>
      <c r="C107" s="6" t="s">
        <v>493</v>
      </c>
      <c r="D107" s="6" t="s">
        <v>494</v>
      </c>
      <c r="E107" s="6" t="s">
        <v>476</v>
      </c>
      <c r="F107" s="6"/>
      <c r="G107" s="6" t="s">
        <v>490</v>
      </c>
      <c r="H107" s="6" t="str">
        <f aca="false">IFERROR(INDEX(Sources!$B:$B,MATCH(G107,Sources!$A:$A,0)),"")</f>
        <v>Espressif ADC blog 2025</v>
      </c>
      <c r="I107" s="6" t="s">
        <v>162</v>
      </c>
      <c r="J107" s="9" t="s">
        <v>23</v>
      </c>
      <c r="K107" s="6"/>
      <c r="L107" s="6"/>
    </row>
    <row r="108" customFormat="false" ht="15" hidden="false" customHeight="false" outlineLevel="0" collapsed="false">
      <c r="A108" s="6" t="s">
        <v>495</v>
      </c>
      <c r="B108" s="6" t="s">
        <v>75</v>
      </c>
      <c r="C108" s="6" t="s">
        <v>496</v>
      </c>
      <c r="D108" s="6" t="s">
        <v>497</v>
      </c>
      <c r="E108" s="6" t="s">
        <v>498</v>
      </c>
      <c r="F108" s="6" t="s">
        <v>499</v>
      </c>
      <c r="G108" s="6" t="s">
        <v>490</v>
      </c>
      <c r="H108" s="6" t="str">
        <f aca="false">IFERROR(INDEX(Sources!$B:$B,MATCH(G108,Sources!$A:$A,0)),"")</f>
        <v>Espressif ADC blog 2025</v>
      </c>
      <c r="I108" s="6" t="s">
        <v>210</v>
      </c>
      <c r="J108" s="9" t="s">
        <v>23</v>
      </c>
      <c r="K108" s="6"/>
      <c r="L108" s="6"/>
    </row>
    <row r="109" customFormat="false" ht="15" hidden="false" customHeight="false" outlineLevel="0" collapsed="false">
      <c r="A109" s="6" t="s">
        <v>500</v>
      </c>
      <c r="B109" s="6" t="s">
        <v>75</v>
      </c>
      <c r="C109" s="6" t="s">
        <v>501</v>
      </c>
      <c r="D109" s="6" t="s">
        <v>502</v>
      </c>
      <c r="E109" s="6" t="s">
        <v>503</v>
      </c>
      <c r="F109" s="6"/>
      <c r="G109" s="6" t="s">
        <v>490</v>
      </c>
      <c r="H109" s="6" t="str">
        <f aca="false">IFERROR(INDEX(Sources!$B:$B,MATCH(G109,Sources!$A:$A,0)),"")</f>
        <v>Espressif ADC blog 2025</v>
      </c>
      <c r="I109" s="6" t="s">
        <v>210</v>
      </c>
      <c r="J109" s="9" t="s">
        <v>23</v>
      </c>
      <c r="K109" s="6"/>
      <c r="L109" s="6"/>
    </row>
    <row r="110" customFormat="false" ht="23.85" hidden="false" customHeight="false" outlineLevel="0" collapsed="false">
      <c r="A110" s="6" t="s">
        <v>504</v>
      </c>
      <c r="B110" s="6" t="s">
        <v>75</v>
      </c>
      <c r="C110" s="6" t="s">
        <v>505</v>
      </c>
      <c r="D110" s="6" t="s">
        <v>506</v>
      </c>
      <c r="E110" s="6" t="s">
        <v>78</v>
      </c>
      <c r="F110" s="6" t="s">
        <v>507</v>
      </c>
      <c r="G110" s="6" t="s">
        <v>490</v>
      </c>
      <c r="H110" s="6" t="str">
        <f aca="false">IFERROR(INDEX(Sources!$B:$B,MATCH(G110,Sources!$A:$A,0)),"")</f>
        <v>Espressif ADC blog 2025</v>
      </c>
      <c r="I110" s="6" t="s">
        <v>204</v>
      </c>
      <c r="J110" s="9" t="s">
        <v>23</v>
      </c>
      <c r="K110" s="6"/>
      <c r="L110" s="6"/>
    </row>
  </sheetData>
  <autoFilter ref="A4:L110"/>
  <dataValidations count="1">
    <dataValidation allowBlank="true" errorStyle="stop" operator="between" showDropDown="false" showErrorMessage="false" showInputMessage="false" sqref="J5:J310" type="list">
      <formula1>"In model v0.2,Pending integration,Benchmark only,Context only"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0"/>
    <col collapsed="false" customWidth="true" hidden="false" outlineLevel="0" max="4" min="4" style="0" width="52"/>
    <col collapsed="false" customWidth="true" hidden="false" outlineLevel="0" max="5" min="5" style="0" width="30"/>
    <col collapsed="false" customWidth="true" hidden="false" outlineLevel="0" max="6" min="6" style="0" width="7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11"/>
    <col collapsed="false" customWidth="true" hidden="false" outlineLevel="0" max="11" min="11" style="0" width="34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4" t="s">
        <v>508</v>
      </c>
    </row>
    <row r="3" customFormat="false" ht="30" hidden="false" customHeight="true" outlineLevel="0" collapsed="false">
      <c r="A3" s="5" t="s">
        <v>34</v>
      </c>
      <c r="B3" s="5" t="s">
        <v>509</v>
      </c>
      <c r="C3" s="5" t="s">
        <v>510</v>
      </c>
      <c r="D3" s="5" t="s">
        <v>511</v>
      </c>
      <c r="E3" s="5" t="s">
        <v>512</v>
      </c>
      <c r="F3" s="5" t="s">
        <v>513</v>
      </c>
      <c r="G3" s="5" t="s">
        <v>514</v>
      </c>
      <c r="H3" s="5" t="s">
        <v>515</v>
      </c>
      <c r="I3" s="5" t="s">
        <v>516</v>
      </c>
      <c r="J3" s="5" t="s">
        <v>517</v>
      </c>
      <c r="K3" s="5" t="s">
        <v>39</v>
      </c>
      <c r="L3" s="5" t="s">
        <v>19</v>
      </c>
    </row>
    <row r="4" customFormat="false" ht="23.85" hidden="false" customHeight="false" outlineLevel="0" collapsed="false">
      <c r="A4" s="6" t="s">
        <v>46</v>
      </c>
      <c r="B4" s="6" t="s">
        <v>518</v>
      </c>
      <c r="C4" s="6" t="s">
        <v>519</v>
      </c>
      <c r="D4" s="6" t="s">
        <v>520</v>
      </c>
      <c r="E4" s="6" t="s">
        <v>521</v>
      </c>
      <c r="F4" s="6" t="n">
        <v>2012</v>
      </c>
      <c r="G4" s="6" t="s">
        <v>522</v>
      </c>
      <c r="H4" s="6" t="s">
        <v>523</v>
      </c>
      <c r="I4" s="12" t="s">
        <v>524</v>
      </c>
      <c r="J4" s="6" t="s">
        <v>6</v>
      </c>
      <c r="K4" s="6" t="s">
        <v>525</v>
      </c>
      <c r="L4" s="6" t="n">
        <f aca="false">COUNTIF('Values from Papers'!$G:$G,A4)</f>
        <v>20</v>
      </c>
    </row>
    <row r="5" customFormat="false" ht="23.85" hidden="false" customHeight="false" outlineLevel="0" collapsed="false">
      <c r="A5" s="6" t="s">
        <v>149</v>
      </c>
      <c r="B5" s="6" t="s">
        <v>526</v>
      </c>
      <c r="C5" s="6" t="s">
        <v>527</v>
      </c>
      <c r="D5" s="6" t="s">
        <v>528</v>
      </c>
      <c r="E5" s="6" t="s">
        <v>529</v>
      </c>
      <c r="F5" s="6" t="n">
        <v>2012</v>
      </c>
      <c r="G5" s="6" t="s">
        <v>522</v>
      </c>
      <c r="H5" s="6" t="s">
        <v>530</v>
      </c>
      <c r="I5" s="12" t="s">
        <v>531</v>
      </c>
      <c r="J5" s="6" t="s">
        <v>6</v>
      </c>
      <c r="K5" s="6"/>
      <c r="L5" s="6" t="n">
        <f aca="false">COUNTIF('Values from Papers'!$G:$G,A5)</f>
        <v>7</v>
      </c>
    </row>
    <row r="6" customFormat="false" ht="23.85" hidden="false" customHeight="false" outlineLevel="0" collapsed="false">
      <c r="A6" s="6" t="s">
        <v>188</v>
      </c>
      <c r="B6" s="6" t="s">
        <v>532</v>
      </c>
      <c r="C6" s="6" t="s">
        <v>533</v>
      </c>
      <c r="D6" s="6" t="s">
        <v>534</v>
      </c>
      <c r="E6" s="6" t="s">
        <v>535</v>
      </c>
      <c r="F6" s="6" t="n">
        <v>2014</v>
      </c>
      <c r="G6" s="6" t="s">
        <v>522</v>
      </c>
      <c r="H6" s="6" t="s">
        <v>78</v>
      </c>
      <c r="I6" s="12" t="s">
        <v>536</v>
      </c>
      <c r="J6" s="6" t="s">
        <v>6</v>
      </c>
      <c r="K6" s="6" t="s">
        <v>537</v>
      </c>
      <c r="L6" s="6" t="n">
        <f aca="false">COUNTIF('Values from Papers'!$G:$G,A6)</f>
        <v>5</v>
      </c>
    </row>
    <row r="7" customFormat="false" ht="23.85" hidden="false" customHeight="false" outlineLevel="0" collapsed="false">
      <c r="A7" s="6" t="s">
        <v>209</v>
      </c>
      <c r="B7" s="6" t="s">
        <v>538</v>
      </c>
      <c r="C7" s="6" t="s">
        <v>539</v>
      </c>
      <c r="D7" s="6" t="s">
        <v>540</v>
      </c>
      <c r="E7" s="6" t="s">
        <v>541</v>
      </c>
      <c r="F7" s="6" t="n">
        <v>1998</v>
      </c>
      <c r="G7" s="6" t="s">
        <v>522</v>
      </c>
      <c r="H7" s="6" t="s">
        <v>78</v>
      </c>
      <c r="I7" s="12" t="s">
        <v>542</v>
      </c>
      <c r="J7" s="6" t="s">
        <v>6</v>
      </c>
      <c r="K7" s="6" t="s">
        <v>543</v>
      </c>
      <c r="L7" s="6" t="n">
        <f aca="false">COUNTIF('Values from Papers'!$G:$G,A7)</f>
        <v>11</v>
      </c>
    </row>
    <row r="8" customFormat="false" ht="23.85" hidden="false" customHeight="false" outlineLevel="0" collapsed="false">
      <c r="A8" s="6" t="s">
        <v>251</v>
      </c>
      <c r="B8" s="6" t="s">
        <v>544</v>
      </c>
      <c r="C8" s="6" t="s">
        <v>545</v>
      </c>
      <c r="D8" s="6" t="s">
        <v>546</v>
      </c>
      <c r="E8" s="6" t="s">
        <v>547</v>
      </c>
      <c r="F8" s="6" t="n">
        <v>2019</v>
      </c>
      <c r="G8" s="6" t="s">
        <v>548</v>
      </c>
      <c r="H8" s="6" t="s">
        <v>78</v>
      </c>
      <c r="I8" s="12" t="s">
        <v>549</v>
      </c>
      <c r="J8" s="6" t="s">
        <v>6</v>
      </c>
      <c r="K8" s="6" t="s">
        <v>550</v>
      </c>
      <c r="L8" s="6" t="n">
        <f aca="false">COUNTIF('Values from Papers'!$G:$G,A8)</f>
        <v>10</v>
      </c>
    </row>
    <row r="9" customFormat="false" ht="23.85" hidden="false" customHeight="false" outlineLevel="0" collapsed="false">
      <c r="A9" s="6" t="s">
        <v>296</v>
      </c>
      <c r="B9" s="6" t="s">
        <v>551</v>
      </c>
      <c r="C9" s="6" t="s">
        <v>552</v>
      </c>
      <c r="D9" s="6" t="s">
        <v>553</v>
      </c>
      <c r="E9" s="6" t="s">
        <v>554</v>
      </c>
      <c r="F9" s="6" t="n">
        <v>1997</v>
      </c>
      <c r="G9" s="6" t="s">
        <v>548</v>
      </c>
      <c r="H9" s="6" t="s">
        <v>78</v>
      </c>
      <c r="I9" s="12" t="s">
        <v>555</v>
      </c>
      <c r="J9" s="6" t="s">
        <v>6</v>
      </c>
      <c r="K9" s="6"/>
      <c r="L9" s="6" t="n">
        <f aca="false">COUNTIF('Values from Papers'!$G:$G,A9)</f>
        <v>5</v>
      </c>
    </row>
    <row r="10" customFormat="false" ht="15" hidden="false" customHeight="false" outlineLevel="0" collapsed="false">
      <c r="A10" s="6" t="s">
        <v>319</v>
      </c>
      <c r="B10" s="6" t="s">
        <v>556</v>
      </c>
      <c r="C10" s="6" t="s">
        <v>557</v>
      </c>
      <c r="D10" s="6" t="s">
        <v>558</v>
      </c>
      <c r="E10" s="6" t="s">
        <v>559</v>
      </c>
      <c r="F10" s="6" t="n">
        <v>2017</v>
      </c>
      <c r="G10" s="6" t="s">
        <v>548</v>
      </c>
      <c r="H10" s="6" t="s">
        <v>78</v>
      </c>
      <c r="I10" s="12" t="s">
        <v>560</v>
      </c>
      <c r="J10" s="6" t="s">
        <v>6</v>
      </c>
      <c r="K10" s="6"/>
      <c r="L10" s="6" t="n">
        <f aca="false">COUNTIF('Values from Papers'!$G:$G,A10)</f>
        <v>6</v>
      </c>
    </row>
    <row r="11" customFormat="false" ht="35.05" hidden="false" customHeight="false" outlineLevel="0" collapsed="false">
      <c r="A11" s="6" t="s">
        <v>341</v>
      </c>
      <c r="B11" s="6" t="s">
        <v>561</v>
      </c>
      <c r="C11" s="6" t="s">
        <v>562</v>
      </c>
      <c r="D11" s="6" t="s">
        <v>563</v>
      </c>
      <c r="E11" s="6" t="s">
        <v>564</v>
      </c>
      <c r="F11" s="6" t="n">
        <v>2020</v>
      </c>
      <c r="G11" s="6" t="s">
        <v>522</v>
      </c>
      <c r="H11" s="6" t="s">
        <v>78</v>
      </c>
      <c r="I11" s="12" t="s">
        <v>565</v>
      </c>
      <c r="J11" s="6" t="s">
        <v>6</v>
      </c>
      <c r="K11" s="6"/>
      <c r="L11" s="6" t="n">
        <f aca="false">COUNTIF('Values from Papers'!$G:$G,A11)</f>
        <v>2</v>
      </c>
    </row>
    <row r="12" customFormat="false" ht="35.05" hidden="false" customHeight="false" outlineLevel="0" collapsed="false">
      <c r="A12" s="6" t="s">
        <v>351</v>
      </c>
      <c r="B12" s="6" t="s">
        <v>566</v>
      </c>
      <c r="C12" s="6" t="s">
        <v>567</v>
      </c>
      <c r="D12" s="6" t="s">
        <v>568</v>
      </c>
      <c r="E12" s="6" t="s">
        <v>569</v>
      </c>
      <c r="F12" s="6" t="n">
        <v>2024</v>
      </c>
      <c r="G12" s="6" t="s">
        <v>570</v>
      </c>
      <c r="H12" s="6" t="s">
        <v>78</v>
      </c>
      <c r="I12" s="12" t="s">
        <v>571</v>
      </c>
      <c r="J12" s="6" t="s">
        <v>6</v>
      </c>
      <c r="K12" s="6" t="s">
        <v>572</v>
      </c>
      <c r="L12" s="6" t="n">
        <f aca="false">COUNTIF('Values from Papers'!$G:$G,A12)</f>
        <v>2</v>
      </c>
    </row>
    <row r="13" customFormat="false" ht="23.85" hidden="false" customHeight="false" outlineLevel="0" collapsed="false">
      <c r="A13" s="6" t="s">
        <v>362</v>
      </c>
      <c r="B13" s="6" t="s">
        <v>573</v>
      </c>
      <c r="C13" s="6" t="s">
        <v>574</v>
      </c>
      <c r="D13" s="6" t="s">
        <v>575</v>
      </c>
      <c r="E13" s="6" t="s">
        <v>576</v>
      </c>
      <c r="F13" s="6" t="n">
        <v>2022</v>
      </c>
      <c r="G13" s="6" t="s">
        <v>548</v>
      </c>
      <c r="H13" s="6" t="s">
        <v>78</v>
      </c>
      <c r="I13" s="12" t="s">
        <v>577</v>
      </c>
      <c r="J13" s="6" t="s">
        <v>6</v>
      </c>
      <c r="K13" s="6" t="s">
        <v>578</v>
      </c>
      <c r="L13" s="6" t="n">
        <f aca="false">COUNTIF('Values from Papers'!$G:$G,A13)</f>
        <v>10</v>
      </c>
    </row>
    <row r="14" customFormat="false" ht="23.85" hidden="false" customHeight="false" outlineLevel="0" collapsed="false">
      <c r="A14" s="6" t="s">
        <v>394</v>
      </c>
      <c r="B14" s="6" t="s">
        <v>579</v>
      </c>
      <c r="C14" s="6" t="s">
        <v>580</v>
      </c>
      <c r="D14" s="6" t="s">
        <v>581</v>
      </c>
      <c r="E14" s="6" t="s">
        <v>582</v>
      </c>
      <c r="F14" s="6" t="n">
        <v>2020</v>
      </c>
      <c r="G14" s="6" t="s">
        <v>583</v>
      </c>
      <c r="H14" s="6" t="s">
        <v>78</v>
      </c>
      <c r="I14" s="12" t="s">
        <v>584</v>
      </c>
      <c r="J14" s="6" t="s">
        <v>6</v>
      </c>
      <c r="K14" s="6"/>
      <c r="L14" s="6" t="n">
        <f aca="false">COUNTIF('Values from Papers'!$G:$G,A14)</f>
        <v>7</v>
      </c>
    </row>
    <row r="15" customFormat="false" ht="35.05" hidden="false" customHeight="false" outlineLevel="0" collapsed="false">
      <c r="A15" s="6" t="s">
        <v>418</v>
      </c>
      <c r="B15" s="6" t="s">
        <v>585</v>
      </c>
      <c r="C15" s="6" t="s">
        <v>586</v>
      </c>
      <c r="D15" s="6" t="s">
        <v>587</v>
      </c>
      <c r="E15" s="6" t="s">
        <v>588</v>
      </c>
      <c r="F15" s="6" t="n">
        <v>2021</v>
      </c>
      <c r="G15" s="6" t="s">
        <v>548</v>
      </c>
      <c r="H15" s="6" t="s">
        <v>78</v>
      </c>
      <c r="I15" s="12" t="s">
        <v>589</v>
      </c>
      <c r="J15" s="6" t="s">
        <v>6</v>
      </c>
      <c r="K15" s="6" t="s">
        <v>590</v>
      </c>
      <c r="L15" s="6" t="n">
        <f aca="false">COUNTIF('Values from Papers'!$G:$G,A15)</f>
        <v>3</v>
      </c>
    </row>
    <row r="16" customFormat="false" ht="23.85" hidden="false" customHeight="false" outlineLevel="0" collapsed="false">
      <c r="A16" s="6" t="s">
        <v>433</v>
      </c>
      <c r="B16" s="6" t="s">
        <v>591</v>
      </c>
      <c r="C16" s="6" t="s">
        <v>592</v>
      </c>
      <c r="D16" s="6" t="s">
        <v>593</v>
      </c>
      <c r="E16" s="6" t="s">
        <v>594</v>
      </c>
      <c r="F16" s="6" t="n">
        <v>2010</v>
      </c>
      <c r="G16" s="6" t="s">
        <v>548</v>
      </c>
      <c r="H16" s="6" t="s">
        <v>78</v>
      </c>
      <c r="I16" s="12" t="s">
        <v>595</v>
      </c>
      <c r="J16" s="6" t="s">
        <v>6</v>
      </c>
      <c r="K16" s="6"/>
      <c r="L16" s="6" t="n">
        <f aca="false">COUNTIF('Values from Papers'!$G:$G,A16)</f>
        <v>5</v>
      </c>
    </row>
    <row r="17" customFormat="false" ht="23.85" hidden="false" customHeight="false" outlineLevel="0" collapsed="false">
      <c r="A17" s="6" t="s">
        <v>453</v>
      </c>
      <c r="B17" s="6" t="s">
        <v>596</v>
      </c>
      <c r="C17" s="6" t="s">
        <v>597</v>
      </c>
      <c r="D17" s="6" t="s">
        <v>598</v>
      </c>
      <c r="E17" s="6" t="s">
        <v>599</v>
      </c>
      <c r="F17" s="6" t="n">
        <v>2015</v>
      </c>
      <c r="G17" s="6" t="s">
        <v>600</v>
      </c>
      <c r="H17" s="6" t="s">
        <v>78</v>
      </c>
      <c r="I17" s="12" t="s">
        <v>601</v>
      </c>
      <c r="J17" s="6" t="s">
        <v>6</v>
      </c>
      <c r="K17" s="6" t="s">
        <v>602</v>
      </c>
      <c r="L17" s="6" t="n">
        <f aca="false">COUNTIF('Values from Papers'!$G:$G,A17)</f>
        <v>5</v>
      </c>
    </row>
    <row r="18" customFormat="false" ht="23.85" hidden="false" customHeight="false" outlineLevel="0" collapsed="false">
      <c r="A18" s="6" t="s">
        <v>478</v>
      </c>
      <c r="B18" s="6" t="s">
        <v>603</v>
      </c>
      <c r="C18" s="6" t="s">
        <v>604</v>
      </c>
      <c r="D18" s="6" t="s">
        <v>605</v>
      </c>
      <c r="E18" s="6" t="s">
        <v>606</v>
      </c>
      <c r="F18" s="6" t="s">
        <v>607</v>
      </c>
      <c r="G18" s="6" t="s">
        <v>608</v>
      </c>
      <c r="H18" s="6" t="s">
        <v>78</v>
      </c>
      <c r="I18" s="12" t="s">
        <v>609</v>
      </c>
      <c r="J18" s="6" t="s">
        <v>6</v>
      </c>
      <c r="K18" s="6" t="s">
        <v>610</v>
      </c>
      <c r="L18" s="6" t="n">
        <f aca="false">COUNTIF('Values from Papers'!$G:$G,A18)</f>
        <v>3</v>
      </c>
    </row>
    <row r="19" customFormat="false" ht="23.85" hidden="false" customHeight="false" outlineLevel="0" collapsed="false">
      <c r="A19" s="6" t="s">
        <v>490</v>
      </c>
      <c r="B19" s="6" t="s">
        <v>611</v>
      </c>
      <c r="C19" s="6" t="s">
        <v>612</v>
      </c>
      <c r="D19" s="6" t="s">
        <v>613</v>
      </c>
      <c r="E19" s="6" t="s">
        <v>614</v>
      </c>
      <c r="F19" s="6" t="n">
        <v>2025</v>
      </c>
      <c r="G19" s="6" t="s">
        <v>615</v>
      </c>
      <c r="H19" s="6" t="s">
        <v>78</v>
      </c>
      <c r="I19" s="12" t="s">
        <v>616</v>
      </c>
      <c r="J19" s="6" t="s">
        <v>6</v>
      </c>
      <c r="K19" s="6"/>
      <c r="L19" s="6" t="n">
        <f aca="false">COUNTIF('Values from Papers'!$G:$G,A19)</f>
        <v>5</v>
      </c>
    </row>
  </sheetData>
  <autoFilter ref="A3:L19"/>
  <hyperlinks>
    <hyperlink ref="I4" r:id="rId1" display="https://la.disneyresearch.com/wp-content/uploads/touchechi20121.pdf"/>
    <hyperlink ref="I5" r:id="rId2" display="https://la.disneyresearch.com/wp-content/uploads/capacitive-fingerprintingcameraready1.pdf"/>
    <hyperlink ref="I6" r:id="rId3" display="https://nime.org/proceedings/2014/nime2014_515.pdf"/>
    <hyperlink ref="I7" r:id="rId4" display="https://backend.orbit.dtu.dk/ws/files/4363898/Jonassen.pdf"/>
    <hyperlink ref="I8" r:id="rId5" display="https://arxiv.org/pdf/1805.05200.pdf"/>
    <hyperlink ref="I9" r:id="rId6" display="https://mn.uio.no/fysikk/english/research/projects/bioimpedance/publications/papers/blemme.pdf"/>
    <hyperlink ref="I10" r:id="rId7" display="https://doi.org/10.3390/s17030574"/>
    <hyperlink ref="I11" r:id="rId8" display="https://par.nsf.gov/servlets/purl/10249175"/>
    <hyperlink ref="I12" r:id="rId9" display="https://arxiv.org/abs/2401.06000"/>
    <hyperlink ref="I13" r:id="rId10" display="https://www.mdpi.com/1424-8220/22/21/8510"/>
    <hyperlink ref="I14" r:id="rId11" display="https://arxiv.org/pdf/2010.15339"/>
    <hyperlink ref="I15" r:id="rId12" display="https://arxiv.org/pdf/2003.13329"/>
    <hyperlink ref="I16" r:id="rId13" display="https://www.thieme-connect.de/products/ejournals/pdf/10.1055/s-0039-1699403.pdf"/>
    <hyperlink ref="I17" r:id="rId14" display="https://www.ti.com/lit/pdf/SNOA926"/>
    <hyperlink ref="I18" r:id="rId15" display="https://hackaday.io/project/205380-adc-performance-arduino-vs-esp32-vs-ads1115"/>
    <hyperlink ref="I19" r:id="rId16" display="https://developer.espressif.com/blog/2025/08/adc-performanc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617</v>
      </c>
    </row>
    <row r="2" customFormat="false" ht="15" hidden="false" customHeight="false" outlineLevel="0" collapsed="false">
      <c r="A2" s="4" t="s">
        <v>618</v>
      </c>
    </row>
    <row r="3" customFormat="false" ht="30" hidden="false" customHeight="true" outlineLevel="0" collapsed="false">
      <c r="A3" s="5" t="s">
        <v>30</v>
      </c>
      <c r="B3" s="5" t="s">
        <v>619</v>
      </c>
      <c r="C3" s="5" t="s">
        <v>620</v>
      </c>
      <c r="D3" s="5" t="s">
        <v>32</v>
      </c>
      <c r="E3" s="5" t="s">
        <v>621</v>
      </c>
      <c r="F3" s="5" t="s">
        <v>622</v>
      </c>
      <c r="G3" s="5" t="s">
        <v>623</v>
      </c>
    </row>
    <row r="4" customFormat="false" ht="15" hidden="false" customHeight="false" outlineLevel="0" collapsed="false">
      <c r="A4" s="6" t="s">
        <v>624</v>
      </c>
      <c r="B4" s="6" t="s">
        <v>625</v>
      </c>
      <c r="C4" s="6" t="s">
        <v>626</v>
      </c>
      <c r="D4" s="6" t="s">
        <v>44</v>
      </c>
      <c r="E4" s="7" t="s">
        <v>627</v>
      </c>
      <c r="F4" s="6" t="s">
        <v>628</v>
      </c>
      <c r="G4" s="6"/>
    </row>
    <row r="5" customFormat="false" ht="15" hidden="false" customHeight="false" outlineLevel="0" collapsed="false">
      <c r="A5" s="6" t="s">
        <v>629</v>
      </c>
      <c r="B5" s="6" t="s">
        <v>630</v>
      </c>
      <c r="C5" s="6" t="s">
        <v>631</v>
      </c>
      <c r="D5" s="6" t="s">
        <v>186</v>
      </c>
      <c r="E5" s="7" t="s">
        <v>627</v>
      </c>
      <c r="F5" s="6" t="s">
        <v>188</v>
      </c>
      <c r="G5" s="6"/>
    </row>
    <row r="6" customFormat="false" ht="15" hidden="false" customHeight="false" outlineLevel="0" collapsed="false">
      <c r="A6" s="6" t="s">
        <v>632</v>
      </c>
      <c r="B6" s="6" t="s">
        <v>633</v>
      </c>
      <c r="C6" s="6" t="s">
        <v>634</v>
      </c>
      <c r="D6" s="6" t="s">
        <v>71</v>
      </c>
      <c r="E6" s="7" t="s">
        <v>627</v>
      </c>
      <c r="F6" s="6" t="s">
        <v>188</v>
      </c>
      <c r="G6" s="6"/>
    </row>
    <row r="7" customFormat="false" ht="15" hidden="false" customHeight="false" outlineLevel="0" collapsed="false">
      <c r="A7" s="6" t="s">
        <v>635</v>
      </c>
      <c r="B7" s="6" t="s">
        <v>636</v>
      </c>
      <c r="C7" s="6" t="s">
        <v>637</v>
      </c>
      <c r="D7" s="6" t="s">
        <v>196</v>
      </c>
      <c r="E7" s="13" t="s">
        <v>638</v>
      </c>
      <c r="F7" s="6" t="s">
        <v>639</v>
      </c>
      <c r="G7" s="6" t="s">
        <v>640</v>
      </c>
    </row>
    <row r="8" customFormat="false" ht="15" hidden="false" customHeight="false" outlineLevel="0" collapsed="false">
      <c r="A8" s="6" t="s">
        <v>641</v>
      </c>
      <c r="B8" s="6" t="s">
        <v>642</v>
      </c>
      <c r="C8" s="6" t="s">
        <v>643</v>
      </c>
      <c r="D8" s="6" t="s">
        <v>644</v>
      </c>
      <c r="E8" s="13" t="s">
        <v>645</v>
      </c>
      <c r="F8" s="6" t="s">
        <v>646</v>
      </c>
      <c r="G8" s="6" t="s">
        <v>647</v>
      </c>
    </row>
    <row r="9" customFormat="false" ht="15" hidden="false" customHeight="false" outlineLevel="0" collapsed="false">
      <c r="A9" s="6" t="s">
        <v>648</v>
      </c>
      <c r="B9" s="6" t="s">
        <v>649</v>
      </c>
      <c r="C9" s="6" t="s">
        <v>650</v>
      </c>
      <c r="D9" s="6" t="s">
        <v>431</v>
      </c>
      <c r="E9" s="14" t="s">
        <v>651</v>
      </c>
      <c r="F9" s="6" t="s">
        <v>78</v>
      </c>
      <c r="G9" s="6" t="s">
        <v>652</v>
      </c>
    </row>
    <row r="10" customFormat="false" ht="23.85" hidden="false" customHeight="false" outlineLevel="0" collapsed="false">
      <c r="A10" s="6" t="s">
        <v>653</v>
      </c>
      <c r="B10" s="6" t="s">
        <v>654</v>
      </c>
      <c r="C10" s="6" t="s">
        <v>655</v>
      </c>
      <c r="D10" s="6" t="s">
        <v>656</v>
      </c>
      <c r="E10" s="7" t="s">
        <v>627</v>
      </c>
      <c r="F10" s="6" t="s">
        <v>296</v>
      </c>
      <c r="G10" s="6" t="s">
        <v>657</v>
      </c>
    </row>
    <row r="11" customFormat="false" ht="15" hidden="false" customHeight="false" outlineLevel="0" collapsed="false">
      <c r="A11" s="6" t="s">
        <v>658</v>
      </c>
      <c r="B11" s="6" t="s">
        <v>659</v>
      </c>
      <c r="C11" s="6" t="s">
        <v>660</v>
      </c>
      <c r="D11" s="6" t="s">
        <v>661</v>
      </c>
      <c r="E11" s="13" t="s">
        <v>638</v>
      </c>
      <c r="F11" s="6" t="s">
        <v>662</v>
      </c>
      <c r="G11" s="6" t="s">
        <v>657</v>
      </c>
    </row>
    <row r="12" customFormat="false" ht="15" hidden="false" customHeight="false" outlineLevel="0" collapsed="false">
      <c r="A12" s="6" t="s">
        <v>663</v>
      </c>
      <c r="B12" s="6" t="s">
        <v>664</v>
      </c>
      <c r="C12" s="6" t="s">
        <v>665</v>
      </c>
      <c r="D12" s="6" t="s">
        <v>93</v>
      </c>
      <c r="E12" s="7" t="s">
        <v>627</v>
      </c>
      <c r="F12" s="6" t="s">
        <v>666</v>
      </c>
      <c r="G12" s="6"/>
    </row>
    <row r="13" customFormat="false" ht="15" hidden="false" customHeight="false" outlineLevel="0" collapsed="false">
      <c r="A13" s="6" t="s">
        <v>667</v>
      </c>
      <c r="B13" s="6" t="s">
        <v>668</v>
      </c>
      <c r="C13" s="6" t="s">
        <v>669</v>
      </c>
      <c r="D13" s="6" t="s">
        <v>196</v>
      </c>
      <c r="E13" s="10" t="s">
        <v>670</v>
      </c>
      <c r="F13" s="6" t="s">
        <v>78</v>
      </c>
      <c r="G13" s="6" t="s">
        <v>671</v>
      </c>
    </row>
    <row r="14" customFormat="false" ht="15" hidden="false" customHeight="false" outlineLevel="0" collapsed="false">
      <c r="A14" s="6" t="s">
        <v>672</v>
      </c>
      <c r="B14" s="6" t="s">
        <v>673</v>
      </c>
      <c r="C14" s="6" t="s">
        <v>674</v>
      </c>
      <c r="D14" s="6" t="s">
        <v>196</v>
      </c>
      <c r="E14" s="10" t="s">
        <v>670</v>
      </c>
      <c r="F14" s="6" t="s">
        <v>78</v>
      </c>
      <c r="G14" s="6" t="s">
        <v>675</v>
      </c>
    </row>
    <row r="15" customFormat="false" ht="15" hidden="false" customHeight="false" outlineLevel="0" collapsed="false">
      <c r="A15" s="6" t="s">
        <v>676</v>
      </c>
      <c r="B15" s="6" t="s">
        <v>78</v>
      </c>
      <c r="C15" s="6" t="s">
        <v>677</v>
      </c>
      <c r="D15" s="6" t="s">
        <v>113</v>
      </c>
      <c r="E15" s="13" t="s">
        <v>645</v>
      </c>
      <c r="F15" s="6" t="s">
        <v>78</v>
      </c>
      <c r="G15" s="6" t="s">
        <v>678</v>
      </c>
    </row>
    <row r="16" customFormat="false" ht="15" hidden="false" customHeight="false" outlineLevel="0" collapsed="false">
      <c r="A16" s="6" t="s">
        <v>679</v>
      </c>
      <c r="B16" s="6" t="s">
        <v>680</v>
      </c>
      <c r="C16" s="6" t="s">
        <v>681</v>
      </c>
      <c r="D16" s="6" t="s">
        <v>196</v>
      </c>
      <c r="E16" s="7" t="s">
        <v>627</v>
      </c>
      <c r="F16" s="6" t="s">
        <v>682</v>
      </c>
      <c r="G16" s="6"/>
    </row>
    <row r="17" customFormat="false" ht="15" hidden="false" customHeight="false" outlineLevel="0" collapsed="false">
      <c r="A17" s="6" t="s">
        <v>683</v>
      </c>
      <c r="B17" s="6" t="s">
        <v>680</v>
      </c>
      <c r="C17" s="6" t="s">
        <v>684</v>
      </c>
      <c r="D17" s="6" t="s">
        <v>196</v>
      </c>
      <c r="E17" s="7" t="s">
        <v>627</v>
      </c>
      <c r="F17" s="6" t="s">
        <v>209</v>
      </c>
      <c r="G17" s="6"/>
    </row>
    <row r="18" customFormat="false" ht="15" hidden="false" customHeight="false" outlineLevel="0" collapsed="false">
      <c r="A18" s="6" t="s">
        <v>685</v>
      </c>
      <c r="B18" s="6" t="s">
        <v>680</v>
      </c>
      <c r="C18" s="6" t="s">
        <v>686</v>
      </c>
      <c r="D18" s="6" t="s">
        <v>196</v>
      </c>
      <c r="E18" s="13" t="s">
        <v>645</v>
      </c>
      <c r="F18" s="6" t="s">
        <v>78</v>
      </c>
      <c r="G18" s="6" t="s">
        <v>687</v>
      </c>
    </row>
    <row r="19" customFormat="false" ht="15" hidden="false" customHeight="false" outlineLevel="0" collapsed="false">
      <c r="A19" s="6" t="s">
        <v>688</v>
      </c>
      <c r="B19" s="6" t="s">
        <v>680</v>
      </c>
      <c r="C19" s="6" t="s">
        <v>689</v>
      </c>
      <c r="D19" s="6" t="s">
        <v>196</v>
      </c>
      <c r="E19" s="13" t="s">
        <v>645</v>
      </c>
      <c r="F19" s="6" t="s">
        <v>78</v>
      </c>
      <c r="G19" s="6"/>
    </row>
    <row r="20" customFormat="false" ht="15" hidden="false" customHeight="false" outlineLevel="0" collapsed="false">
      <c r="A20" s="6" t="s">
        <v>690</v>
      </c>
      <c r="B20" s="6" t="s">
        <v>78</v>
      </c>
      <c r="C20" s="6" t="s">
        <v>691</v>
      </c>
      <c r="D20" s="6" t="s">
        <v>113</v>
      </c>
      <c r="E20" s="13" t="s">
        <v>638</v>
      </c>
      <c r="F20" s="6" t="s">
        <v>692</v>
      </c>
      <c r="G20" s="6" t="s">
        <v>693</v>
      </c>
    </row>
    <row r="21" customFormat="false" ht="15" hidden="false" customHeight="false" outlineLevel="0" collapsed="false">
      <c r="A21" s="6" t="s">
        <v>694</v>
      </c>
      <c r="B21" s="6" t="s">
        <v>695</v>
      </c>
      <c r="C21" s="6" t="s">
        <v>696</v>
      </c>
      <c r="D21" s="6" t="s">
        <v>196</v>
      </c>
      <c r="E21" s="10" t="s">
        <v>697</v>
      </c>
      <c r="F21" s="6" t="s">
        <v>698</v>
      </c>
      <c r="G21" s="6" t="s">
        <v>699</v>
      </c>
    </row>
    <row r="22" customFormat="false" ht="15" hidden="false" customHeight="false" outlineLevel="0" collapsed="false">
      <c r="A22" s="6" t="s">
        <v>700</v>
      </c>
      <c r="B22" s="6" t="s">
        <v>695</v>
      </c>
      <c r="C22" s="6" t="s">
        <v>701</v>
      </c>
      <c r="D22" s="6" t="s">
        <v>196</v>
      </c>
      <c r="E22" s="13" t="s">
        <v>645</v>
      </c>
      <c r="F22" s="6" t="s">
        <v>251</v>
      </c>
      <c r="G22" s="6"/>
    </row>
    <row r="23" customFormat="false" ht="15" hidden="false" customHeight="false" outlineLevel="0" collapsed="false">
      <c r="A23" s="6" t="s">
        <v>702</v>
      </c>
      <c r="B23" s="6" t="s">
        <v>78</v>
      </c>
      <c r="C23" s="6" t="s">
        <v>703</v>
      </c>
      <c r="D23" s="6" t="s">
        <v>661</v>
      </c>
      <c r="E23" s="13" t="s">
        <v>645</v>
      </c>
      <c r="F23" s="6" t="s">
        <v>78</v>
      </c>
      <c r="G23" s="6"/>
    </row>
    <row r="24" customFormat="false" ht="15" hidden="false" customHeight="false" outlineLevel="0" collapsed="false">
      <c r="A24" s="6" t="s">
        <v>704</v>
      </c>
      <c r="B24" s="6" t="s">
        <v>705</v>
      </c>
      <c r="C24" s="6" t="s">
        <v>706</v>
      </c>
      <c r="D24" s="6" t="s">
        <v>196</v>
      </c>
      <c r="E24" s="13" t="s">
        <v>638</v>
      </c>
      <c r="F24" s="6" t="s">
        <v>209</v>
      </c>
      <c r="G24" s="6"/>
    </row>
    <row r="25" customFormat="false" ht="15" hidden="false" customHeight="false" outlineLevel="0" collapsed="false">
      <c r="A25" s="6" t="s">
        <v>707</v>
      </c>
      <c r="B25" s="6" t="s">
        <v>708</v>
      </c>
      <c r="C25" s="6" t="s">
        <v>709</v>
      </c>
      <c r="D25" s="6" t="s">
        <v>431</v>
      </c>
      <c r="E25" s="13" t="s">
        <v>645</v>
      </c>
      <c r="F25" s="6" t="s">
        <v>78</v>
      </c>
      <c r="G25" s="6" t="s">
        <v>710</v>
      </c>
    </row>
    <row r="26" customFormat="false" ht="15" hidden="false" customHeight="false" outlineLevel="0" collapsed="false">
      <c r="A26" s="6" t="s">
        <v>711</v>
      </c>
      <c r="B26" s="6" t="s">
        <v>712</v>
      </c>
      <c r="C26" s="6" t="s">
        <v>713</v>
      </c>
      <c r="D26" s="6" t="s">
        <v>78</v>
      </c>
      <c r="E26" s="7" t="s">
        <v>627</v>
      </c>
      <c r="F26" s="6" t="s">
        <v>319</v>
      </c>
      <c r="G26" s="6"/>
    </row>
    <row r="27" customFormat="false" ht="15" hidden="false" customHeight="false" outlineLevel="0" collapsed="false">
      <c r="A27" s="6" t="s">
        <v>714</v>
      </c>
      <c r="B27" s="6" t="s">
        <v>715</v>
      </c>
      <c r="C27" s="6" t="s">
        <v>716</v>
      </c>
      <c r="D27" s="6" t="s">
        <v>717</v>
      </c>
      <c r="E27" s="13" t="s">
        <v>638</v>
      </c>
      <c r="F27" s="6" t="s">
        <v>319</v>
      </c>
      <c r="G27" s="6"/>
    </row>
    <row r="28" customFormat="false" ht="15" hidden="false" customHeight="false" outlineLevel="0" collapsed="false">
      <c r="A28" s="6" t="s">
        <v>718</v>
      </c>
      <c r="B28" s="6" t="s">
        <v>719</v>
      </c>
      <c r="C28" s="6" t="s">
        <v>720</v>
      </c>
      <c r="D28" s="6" t="s">
        <v>78</v>
      </c>
      <c r="E28" s="14" t="s">
        <v>651</v>
      </c>
      <c r="F28" s="6" t="s">
        <v>78</v>
      </c>
      <c r="G28" s="6" t="s">
        <v>652</v>
      </c>
    </row>
    <row r="29" customFormat="false" ht="15" hidden="false" customHeight="false" outlineLevel="0" collapsed="false">
      <c r="A29" s="6" t="s">
        <v>721</v>
      </c>
      <c r="B29" s="6" t="s">
        <v>722</v>
      </c>
      <c r="C29" s="6" t="s">
        <v>723</v>
      </c>
      <c r="D29" s="6" t="s">
        <v>78</v>
      </c>
      <c r="E29" s="13" t="s">
        <v>645</v>
      </c>
      <c r="F29" s="6" t="s">
        <v>296</v>
      </c>
      <c r="G29" s="6"/>
    </row>
    <row r="30" customFormat="false" ht="15" hidden="false" customHeight="false" outlineLevel="0" collapsed="false">
      <c r="A30" s="6" t="s">
        <v>724</v>
      </c>
      <c r="B30" s="6" t="s">
        <v>722</v>
      </c>
      <c r="C30" s="6" t="s">
        <v>725</v>
      </c>
      <c r="D30" s="6" t="s">
        <v>196</v>
      </c>
      <c r="E30" s="13" t="s">
        <v>645</v>
      </c>
      <c r="F30" s="6" t="s">
        <v>78</v>
      </c>
      <c r="G30" s="6"/>
    </row>
    <row r="31" customFormat="false" ht="15" hidden="false" customHeight="false" outlineLevel="0" collapsed="false">
      <c r="A31" s="6" t="s">
        <v>726</v>
      </c>
      <c r="B31" s="6" t="s">
        <v>722</v>
      </c>
      <c r="C31" s="6" t="s">
        <v>727</v>
      </c>
      <c r="D31" s="6" t="s">
        <v>196</v>
      </c>
      <c r="E31" s="13" t="s">
        <v>645</v>
      </c>
      <c r="F31" s="6" t="s">
        <v>78</v>
      </c>
      <c r="G31" s="6"/>
    </row>
    <row r="32" customFormat="false" ht="15" hidden="false" customHeight="false" outlineLevel="0" collapsed="false">
      <c r="A32" s="6" t="s">
        <v>728</v>
      </c>
      <c r="B32" s="6" t="s">
        <v>729</v>
      </c>
      <c r="C32" s="6" t="s">
        <v>730</v>
      </c>
      <c r="D32" s="6" t="s">
        <v>196</v>
      </c>
      <c r="E32" s="13" t="s">
        <v>645</v>
      </c>
      <c r="F32" s="6" t="s">
        <v>78</v>
      </c>
      <c r="G32" s="6" t="s">
        <v>731</v>
      </c>
    </row>
    <row r="33" customFormat="false" ht="15" hidden="false" customHeight="false" outlineLevel="0" collapsed="false">
      <c r="A33" s="6" t="s">
        <v>732</v>
      </c>
      <c r="B33" s="6" t="s">
        <v>733</v>
      </c>
      <c r="C33" s="6" t="s">
        <v>734</v>
      </c>
      <c r="D33" s="6" t="s">
        <v>93</v>
      </c>
      <c r="E33" s="7" t="s">
        <v>627</v>
      </c>
      <c r="F33" s="6" t="s">
        <v>251</v>
      </c>
      <c r="G33" s="6"/>
    </row>
    <row r="34" customFormat="false" ht="15" hidden="false" customHeight="false" outlineLevel="0" collapsed="false">
      <c r="A34" s="6" t="s">
        <v>735</v>
      </c>
      <c r="B34" s="6" t="s">
        <v>78</v>
      </c>
      <c r="C34" s="6" t="s">
        <v>736</v>
      </c>
      <c r="D34" s="6" t="s">
        <v>431</v>
      </c>
      <c r="E34" s="13" t="s">
        <v>645</v>
      </c>
      <c r="F34" s="6" t="s">
        <v>78</v>
      </c>
      <c r="G34" s="6"/>
    </row>
    <row r="35" customFormat="false" ht="15" hidden="false" customHeight="false" outlineLevel="0" collapsed="false">
      <c r="A35" s="6" t="s">
        <v>737</v>
      </c>
      <c r="B35" s="6" t="s">
        <v>78</v>
      </c>
      <c r="C35" s="6" t="s">
        <v>738</v>
      </c>
      <c r="D35" s="6" t="s">
        <v>78</v>
      </c>
      <c r="E35" s="10" t="s">
        <v>670</v>
      </c>
      <c r="F35" s="6" t="s">
        <v>78</v>
      </c>
      <c r="G35" s="6"/>
    </row>
    <row r="36" customFormat="false" ht="15" hidden="false" customHeight="false" outlineLevel="0" collapsed="false">
      <c r="A36" s="6" t="s">
        <v>739</v>
      </c>
      <c r="B36" s="6" t="s">
        <v>78</v>
      </c>
      <c r="C36" s="6" t="s">
        <v>740</v>
      </c>
      <c r="D36" s="6" t="s">
        <v>196</v>
      </c>
      <c r="E36" s="13" t="s">
        <v>741</v>
      </c>
      <c r="F36" s="6" t="s">
        <v>78</v>
      </c>
      <c r="G36" s="6" t="s">
        <v>742</v>
      </c>
    </row>
    <row r="37" customFormat="false" ht="15" hidden="false" customHeight="false" outlineLevel="0" collapsed="false">
      <c r="A37" s="6" t="s">
        <v>743</v>
      </c>
      <c r="B37" s="6" t="s">
        <v>78</v>
      </c>
      <c r="C37" s="6" t="s">
        <v>744</v>
      </c>
      <c r="D37" s="6" t="s">
        <v>196</v>
      </c>
      <c r="E37" s="13" t="s">
        <v>645</v>
      </c>
      <c r="F37" s="6" t="s">
        <v>78</v>
      </c>
      <c r="G37" s="6"/>
    </row>
    <row r="38" customFormat="false" ht="15" hidden="false" customHeight="false" outlineLevel="0" collapsed="false">
      <c r="A38" s="6" t="s">
        <v>745</v>
      </c>
      <c r="B38" s="6" t="s">
        <v>78</v>
      </c>
      <c r="C38" s="6" t="s">
        <v>746</v>
      </c>
      <c r="D38" s="6" t="s">
        <v>113</v>
      </c>
      <c r="E38" s="13" t="s">
        <v>645</v>
      </c>
      <c r="F38" s="6" t="s">
        <v>78</v>
      </c>
      <c r="G38" s="6"/>
    </row>
  </sheetData>
  <autoFilter ref="A3:G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9"/>
  </cols>
  <sheetData>
    <row r="1" customFormat="false" ht="17.35" hidden="false" customHeight="false" outlineLevel="0" collapsed="false">
      <c r="A1" s="1" t="s">
        <v>747</v>
      </c>
    </row>
    <row r="2" customFormat="false" ht="15" hidden="false" customHeight="false" outlineLevel="0" collapsed="false">
      <c r="A2" s="4" t="s">
        <v>748</v>
      </c>
    </row>
    <row r="3" customFormat="false" ht="30" hidden="false" customHeight="true" outlineLevel="0" collapsed="false">
      <c r="A3" s="5" t="s">
        <v>30</v>
      </c>
      <c r="B3" s="5" t="s">
        <v>749</v>
      </c>
      <c r="C3" s="5" t="s">
        <v>750</v>
      </c>
      <c r="D3" s="5" t="s">
        <v>751</v>
      </c>
      <c r="E3" s="5" t="s">
        <v>752</v>
      </c>
    </row>
    <row r="4" customFormat="false" ht="23.85" hidden="false" customHeight="false" outlineLevel="0" collapsed="false">
      <c r="A4" s="6" t="s">
        <v>753</v>
      </c>
      <c r="B4" s="6" t="s">
        <v>754</v>
      </c>
      <c r="C4" s="6" t="s">
        <v>755</v>
      </c>
      <c r="D4" s="6" t="s">
        <v>756</v>
      </c>
      <c r="E4" s="6" t="n">
        <v>1</v>
      </c>
    </row>
    <row r="5" customFormat="false" ht="23.85" hidden="false" customHeight="false" outlineLevel="0" collapsed="false">
      <c r="A5" s="6" t="s">
        <v>676</v>
      </c>
      <c r="B5" s="6" t="s">
        <v>757</v>
      </c>
      <c r="C5" s="6" t="s">
        <v>758</v>
      </c>
      <c r="D5" s="6" t="s">
        <v>759</v>
      </c>
      <c r="E5" s="6" t="n">
        <v>2</v>
      </c>
    </row>
    <row r="6" customFormat="false" ht="15" hidden="false" customHeight="false" outlineLevel="0" collapsed="false">
      <c r="A6" s="6" t="s">
        <v>760</v>
      </c>
      <c r="B6" s="6" t="s">
        <v>761</v>
      </c>
      <c r="C6" s="6" t="s">
        <v>762</v>
      </c>
      <c r="D6" s="6" t="s">
        <v>763</v>
      </c>
      <c r="E6" s="6" t="n">
        <v>3</v>
      </c>
    </row>
    <row r="7" customFormat="false" ht="23.85" hidden="false" customHeight="false" outlineLevel="0" collapsed="false">
      <c r="A7" s="6" t="s">
        <v>641</v>
      </c>
      <c r="B7" s="6" t="s">
        <v>764</v>
      </c>
      <c r="C7" s="6" t="s">
        <v>765</v>
      </c>
      <c r="D7" s="6" t="s">
        <v>766</v>
      </c>
      <c r="E7" s="6" t="n">
        <v>4</v>
      </c>
    </row>
    <row r="8" customFormat="false" ht="15" hidden="false" customHeight="false" outlineLevel="0" collapsed="false">
      <c r="A8" s="6" t="s">
        <v>767</v>
      </c>
      <c r="B8" s="6" t="s">
        <v>768</v>
      </c>
      <c r="C8" s="6" t="s">
        <v>769</v>
      </c>
      <c r="D8" s="6" t="s">
        <v>770</v>
      </c>
      <c r="E8" s="6" t="n">
        <v>5</v>
      </c>
    </row>
    <row r="9" customFormat="false" ht="15" hidden="false" customHeight="false" outlineLevel="0" collapsed="false">
      <c r="A9" s="6" t="s">
        <v>771</v>
      </c>
      <c r="B9" s="6" t="s">
        <v>772</v>
      </c>
      <c r="C9" s="6" t="s">
        <v>769</v>
      </c>
      <c r="D9" s="6" t="s">
        <v>773</v>
      </c>
      <c r="E9" s="6" t="n">
        <v>6</v>
      </c>
    </row>
    <row r="10" customFormat="false" ht="23.85" hidden="false" customHeight="false" outlineLevel="0" collapsed="false">
      <c r="A10" s="6" t="s">
        <v>774</v>
      </c>
      <c r="B10" s="6" t="s">
        <v>775</v>
      </c>
      <c r="C10" s="6" t="s">
        <v>776</v>
      </c>
      <c r="D10" s="6" t="s">
        <v>777</v>
      </c>
      <c r="E10" s="6" t="n">
        <v>7</v>
      </c>
    </row>
    <row r="11" customFormat="false" ht="15" hidden="false" customHeight="false" outlineLevel="0" collapsed="false">
      <c r="A11" s="6" t="s">
        <v>778</v>
      </c>
      <c r="B11" s="6" t="s">
        <v>779</v>
      </c>
      <c r="C11" s="6" t="s">
        <v>780</v>
      </c>
      <c r="D11" s="6" t="s">
        <v>781</v>
      </c>
      <c r="E11" s="6" t="n">
        <v>8</v>
      </c>
    </row>
    <row r="12" customFormat="false" ht="15" hidden="false" customHeight="false" outlineLevel="0" collapsed="false">
      <c r="A12" s="6" t="s">
        <v>782</v>
      </c>
      <c r="B12" s="6" t="s">
        <v>783</v>
      </c>
      <c r="C12" s="6" t="s">
        <v>769</v>
      </c>
      <c r="D12" s="6" t="s">
        <v>784</v>
      </c>
      <c r="E12" s="6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2026-10-11T06:06:22Z</dcterms:created>
  <dc:creator>openpyxl</dc:creator>
  <dc:description/>
  <dc:language>en-US</dc:language>
  <cp:lastModifiedBy/>
  <dcterms:modified xsi:type="dcterms:W3CDTF">2026-10-11T06:06:22Z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