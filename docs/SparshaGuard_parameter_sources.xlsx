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Values from Papers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Model v0.3 Params" sheetId="4" state="visible" r:id="rId4"/>
    <sheet xmlns:r="http://schemas.openxmlformats.org/officeDocument/2006/relationships" name="Still Estimated" sheetId="5" state="visible" r:id="rId5"/>
  </sheets>
  <definedNames>
    <definedName name="_xlnm._FilterDatabase" localSheetId="1" hidden="1">'Values from Papers'!$A$4:$L$133</definedName>
    <definedName name="_xlnm._FilterDatabase" localSheetId="2" hidden="1">'Sources'!$A$3:$L$34</definedName>
    <definedName name="_xlnm._FilterDatabase" localSheetId="3" hidden="1">'Model v0.3 Params'!$A$3:$G$39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ADCF0"/>
      </patternFill>
    </fill>
    <fill>
      <patternFill patternType="solid">
        <fgColor rgb="00EDE7F6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la.disneyresearch.com/wp-content/uploads/touchechi20121.pdf" TargetMode="External" Id="rId1"/><Relationship Type="http://schemas.openxmlformats.org/officeDocument/2006/relationships/hyperlink" Target="https://la.disneyresearch.com/wp-content/uploads/capacitive-fingerprintingcameraready1.pdf" TargetMode="External" Id="rId2"/><Relationship Type="http://schemas.openxmlformats.org/officeDocument/2006/relationships/hyperlink" Target="https://nime.org/proceedings/2014/nime2014_515.pdf" TargetMode="External" Id="rId3"/><Relationship Type="http://schemas.openxmlformats.org/officeDocument/2006/relationships/hyperlink" Target="https://backend.orbit.dtu.dk/ws/files/4363898/Jonassen.pdf" TargetMode="External" Id="rId4"/><Relationship Type="http://schemas.openxmlformats.org/officeDocument/2006/relationships/hyperlink" Target="https://arxiv.org/pdf/1805.05200.pdf" TargetMode="External" Id="rId5"/><Relationship Type="http://schemas.openxmlformats.org/officeDocument/2006/relationships/hyperlink" Target="https://mn.uio.no/fysikk/english/research/projects/bioimpedance/publications/papers/blemme.pdf" TargetMode="External" Id="rId6"/><Relationship Type="http://schemas.openxmlformats.org/officeDocument/2006/relationships/hyperlink" Target="https://doi.org/10.3390/s17030574" TargetMode="External" Id="rId7"/><Relationship Type="http://schemas.openxmlformats.org/officeDocument/2006/relationships/hyperlink" Target="https://par.nsf.gov/servlets/purl/10249175" TargetMode="External" Id="rId8"/><Relationship Type="http://schemas.openxmlformats.org/officeDocument/2006/relationships/hyperlink" Target="https://arxiv.org/abs/2401.06000" TargetMode="External" Id="rId9"/><Relationship Type="http://schemas.openxmlformats.org/officeDocument/2006/relationships/hyperlink" Target="https://www.mdpi.com/1424-8220/22/21/8510" TargetMode="External" Id="rId10"/><Relationship Type="http://schemas.openxmlformats.org/officeDocument/2006/relationships/hyperlink" Target="https://arxiv.org/pdf/2010.15339" TargetMode="External" Id="rId11"/><Relationship Type="http://schemas.openxmlformats.org/officeDocument/2006/relationships/hyperlink" Target="https://arxiv.org/pdf/2003.13329" TargetMode="External" Id="rId12"/><Relationship Type="http://schemas.openxmlformats.org/officeDocument/2006/relationships/hyperlink" Target="https://www.thieme-connect.de/products/ejournals/pdf/10.1055/s-0039-1699403.pdf" TargetMode="External" Id="rId13"/><Relationship Type="http://schemas.openxmlformats.org/officeDocument/2006/relationships/hyperlink" Target="https://www.ti.com/lit/pdf/SNOA926" TargetMode="External" Id="rId14"/><Relationship Type="http://schemas.openxmlformats.org/officeDocument/2006/relationships/hyperlink" Target="https://hackaday.io/project/205380-adc-performance-arduino-vs-esp32-vs-ads1115" TargetMode="External" Id="rId15"/><Relationship Type="http://schemas.openxmlformats.org/officeDocument/2006/relationships/hyperlink" Target="https://developer.espressif.com/blog/2025/08/adc-performance/" TargetMode="External" Id="rId16"/><Relationship Type="http://schemas.openxmlformats.org/officeDocument/2006/relationships/hyperlink" Target="https://www.descoindustries.com/AboutESD/Voltage.aspx" TargetMode="External" Id="rId17"/><Relationship Type="http://schemas.openxmlformats.org/officeDocument/2006/relationships/hyperlink" Target="https://incompliancemag.com/charging-by-walking/" TargetMode="External" Id="rId18"/><Relationship Type="http://schemas.openxmlformats.org/officeDocument/2006/relationships/hyperlink" Target="https://dfki.de/web/forschung/projekte-publikationen/publikation/10312" TargetMode="External" Id="rId19"/><Relationship Type="http://schemas.openxmlformats.org/officeDocument/2006/relationships/hyperlink" Target="https://arxiv.org/html/2507.13520v1" TargetMode="External" Id="rId20"/><Relationship Type="http://schemas.openxmlformats.org/officeDocument/2006/relationships/hyperlink" Target="https://electrostatics.org/wp-content/uploads/2023/08/G12.pdf" TargetMode="External" Id="rId21"/><Relationship Type="http://schemas.openxmlformats.org/officeDocument/2006/relationships/hyperlink" Target="https://doi.org/10.3390/s16122049" TargetMode="External" Id="rId22"/><Relationship Type="http://schemas.openxmlformats.org/officeDocument/2006/relationships/hyperlink" Target="https://uasbangalore.edu.in/images/Agrometerology/pdf/gkvk-monthly-weather-normals-2011-2020-converted.pdf" TargetMode="External" Id="rId23"/><Relationship Type="http://schemas.openxmlformats.org/officeDocument/2006/relationships/hyperlink" Target="https://www.electronics.org/system/files/technical_resource/E15&amp;S22_02.pdf" TargetMode="External" Id="rId24"/><Relationship Type="http://schemas.openxmlformats.org/officeDocument/2006/relationships/hyperlink" Target="https://arxiv.org/pdf/2501.06940" TargetMode="External" Id="rId25"/><Relationship Type="http://schemas.openxmlformats.org/officeDocument/2006/relationships/hyperlink" Target="https://link.springer.com/chapter/10.1007/978-981-19-0361-8_5" TargetMode="External" Id="rId26"/><Relationship Type="http://schemas.openxmlformats.org/officeDocument/2006/relationships/hyperlink" Target="https://journals.plos.org/plosone/article?id=10.1371%2Fjournal.pone.0106664" TargetMode="External" Id="rId27"/><Relationship Type="http://schemas.openxmlformats.org/officeDocument/2006/relationships/hyperlink" Target="https://arxiv.org/pdf/2203.09669" TargetMode="External" Id="rId28"/><Relationship Type="http://schemas.openxmlformats.org/officeDocument/2006/relationships/hyperlink" Target="https://www.eti.uni-siegen.de/ubicomp/home/datasets/icmi18/" TargetMode="External" Id="rId29"/><Relationship Type="http://schemas.openxmlformats.org/officeDocument/2006/relationships/hyperlink" Target="https://arxiv.org/pdf/2608.04176" TargetMode="External" Id="rId30"/><Relationship Type="http://schemas.openxmlformats.org/officeDocument/2006/relationships/hyperlink" Target="https://image-ppubs.uspto.gov/dirsearch-public/print/downloadPdf/10950112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SparshaGuard — parameter sources</t>
        </is>
      </c>
    </row>
    <row r="3">
      <c r="A3" s="2" t="inlineStr">
        <is>
          <t>Purpose</t>
        </is>
      </c>
      <c r="B3" s="3" t="inlineStr">
        <is>
          <t>Every value taken from a paper for the SparshaGuard simulation, with its full reference, and every parameter the model uses with where it came from.</t>
        </is>
      </c>
    </row>
    <row r="4">
      <c r="A4" s="3" t="inlineStr">
        <is>
          <t>Project folder</t>
        </is>
      </c>
      <c r="B4" s="3" t="inlineStr">
        <is>
          <t>D:\SPARSHA  (model: sg_model.py; notes: docs\parameter_sources.md, docs\new_findings_pending.md)</t>
        </is>
      </c>
    </row>
    <row r="5">
      <c r="A5" s="2" t="inlineStr">
        <is>
          <t>Last updated</t>
        </is>
      </c>
      <c r="B5" s="3" t="inlineStr">
        <is>
          <t>2026-10-11</t>
        </is>
      </c>
    </row>
    <row r="6">
      <c r="A6" s="3" t="inlineStr"/>
      <c r="B6" s="3" t="inlineStr"/>
    </row>
    <row r="7">
      <c r="A7" s="2" t="inlineStr">
        <is>
          <t>Sheets</t>
        </is>
      </c>
      <c r="B7" s="3" t="inlineStr"/>
    </row>
    <row r="8">
      <c r="A8" s="2" t="inlineStr">
        <is>
          <t>Values from Papers</t>
        </is>
      </c>
      <c r="B8" s="3" t="inlineStr">
        <is>
          <t>The log: one row per value, with source, location in the source and status.</t>
        </is>
      </c>
    </row>
    <row r="9">
      <c r="A9" s="2" t="inlineStr">
        <is>
          <t>Sources</t>
        </is>
      </c>
      <c r="B9" s="3" t="inlineStr">
        <is>
          <t>Full reference and link for each source ID.</t>
        </is>
      </c>
    </row>
    <row r="10">
      <c r="A10" s="2" t="inlineStr">
        <is>
          <t>Model v0.3 Params</t>
        </is>
      </c>
      <c r="B10" s="3" t="inlineStr">
        <is>
          <t>Each parameter in sg_model.py, the value used, and its tag and sources.</t>
        </is>
      </c>
    </row>
    <row r="11">
      <c r="A11" s="2" t="inlineStr">
        <is>
          <t>Still Estimated</t>
        </is>
      </c>
      <c r="B11" s="3" t="inlineStr">
        <is>
          <t>Values with no published source yet, and how Gate 1 should measure them.</t>
        </is>
      </c>
    </row>
    <row r="12">
      <c r="A12" s="3" t="inlineStr"/>
      <c r="B12" s="3" t="inlineStr"/>
    </row>
    <row r="13">
      <c r="A13" s="2" t="inlineStr">
        <is>
          <t>Adding a value</t>
        </is>
      </c>
      <c r="B13" s="3" t="inlineStr">
        <is>
          <t>Add a row at the bottom of 'Values from Papers'. Fill Category to Location, pick a Status from the drop-down, and use a Source ID listed on 'Sources' (add the source there first if it's new). The short source name fills in by itself.</t>
        </is>
      </c>
    </row>
    <row r="14">
      <c r="A14" s="3" t="inlineStr"/>
      <c r="B14" s="3" t="inlineStr"/>
    </row>
    <row r="15">
      <c r="A15" s="2" t="inlineStr">
        <is>
          <t>Counts (live)</t>
        </is>
      </c>
      <c r="B15" s="3" t="inlineStr"/>
    </row>
    <row r="16">
      <c r="A16" s="3" t="inlineStr">
        <is>
          <t>Sources</t>
        </is>
      </c>
      <c r="B16" s="3">
        <f>COUNTA(Sources!$A$4:$A$500)</f>
        <v/>
      </c>
    </row>
    <row r="17">
      <c r="A17" s="3" t="inlineStr">
        <is>
          <t>Values logged</t>
        </is>
      </c>
      <c r="B17" s="3">
        <f>COUNTA('Values from Papers'!$A$5:$A$1000)</f>
        <v/>
      </c>
    </row>
    <row r="18">
      <c r="A18" s="3" t="inlineStr">
        <is>
          <t>In model v0.3</t>
        </is>
      </c>
      <c r="B18" s="3">
        <f>COUNTIF('Values from Papers'!$J:$J,"In model v0.3")</f>
        <v/>
      </c>
    </row>
    <row r="19">
      <c r="A19" s="3" t="inlineStr">
        <is>
          <t>Pending integration</t>
        </is>
      </c>
      <c r="B19" s="3">
        <f>COUNTIF('Values from Papers'!$J:$J,"Pending integration")</f>
        <v/>
      </c>
    </row>
    <row r="20">
      <c r="A20" s="3" t="inlineStr">
        <is>
          <t>Benchmark only</t>
        </is>
      </c>
      <c r="B20" s="3">
        <f>COUNTIF('Values from Papers'!$J:$J,"Benchmark only")</f>
        <v/>
      </c>
    </row>
    <row r="21">
      <c r="A21" s="3" t="inlineStr">
        <is>
          <t>Context only</t>
        </is>
      </c>
      <c r="B21" s="3">
        <f>COUNTIF('Values from Papers'!$J:$J,"Context only")</f>
        <v/>
      </c>
    </row>
    <row r="22">
      <c r="A22" s="3" t="inlineStr">
        <is>
          <t>Model parameters</t>
        </is>
      </c>
      <c r="B22" s="3">
        <f>COUNTA('Model v0.3 Params'!$A$4:$A$500)</f>
        <v/>
      </c>
    </row>
    <row r="23">
      <c r="A23" s="3" t="inlineStr">
        <is>
          <t>…of which still estimated (tag E)</t>
        </is>
      </c>
      <c r="B23" s="3">
        <f>COUNTIF('Model v0.3 Params'!$E$4:$E$500,"E")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34" customWidth="1" min="3" max="3"/>
    <col width="22" customWidth="1" min="4" max="4"/>
    <col width="11" customWidth="1" min="5" max="5"/>
    <col width="32" customWidth="1" min="6" max="6"/>
    <col width="9" customWidth="1" min="7" max="7"/>
    <col width="26" customWidth="1" min="8" max="8"/>
    <col width="16" customWidth="1" min="9" max="9"/>
    <col width="18" customWidth="1" min="10" max="10"/>
    <col width="30" customWidth="1" min="11" max="11"/>
    <col width="30" customWidth="1" min="12" max="12"/>
  </cols>
  <sheetData>
    <row r="1">
      <c r="A1" s="1" t="inlineStr">
        <is>
          <t>Values from papers</t>
        </is>
      </c>
    </row>
    <row r="2">
      <c r="A2" s="4" t="inlineStr">
        <is>
          <t>One row per value taken from a source. Status colours: green = in model v0.2, yellow = found, awaiting integration, blue = accuracy benchmark, grey = context only.</t>
        </is>
      </c>
    </row>
    <row r="4" ht="30" customHeight="1">
      <c r="A4" s="5" t="inlineStr">
        <is>
          <t>ID</t>
        </is>
      </c>
      <c r="B4" s="5" t="inlineStr">
        <is>
          <t>Category</t>
        </is>
      </c>
      <c r="C4" s="5" t="inlineStr">
        <is>
          <t>Parameter</t>
        </is>
      </c>
      <c r="D4" s="5" t="inlineStr">
        <is>
          <t>Value</t>
        </is>
      </c>
      <c r="E4" s="5" t="inlineStr">
        <is>
          <t>Unit</t>
        </is>
      </c>
      <c r="F4" s="5" t="inlineStr">
        <is>
          <t>Conditions / context</t>
        </is>
      </c>
      <c r="G4" s="5" t="inlineStr">
        <is>
          <t>Source ID</t>
        </is>
      </c>
      <c r="H4" s="5" t="inlineStr">
        <is>
          <t>Source (short)</t>
        </is>
      </c>
      <c r="I4" s="5" t="inlineStr">
        <is>
          <t>Location in source</t>
        </is>
      </c>
      <c r="J4" s="5" t="inlineStr">
        <is>
          <t>Status</t>
        </is>
      </c>
      <c r="K4" s="5" t="inlineStr">
        <is>
          <t>How it's used in the model</t>
        </is>
      </c>
      <c r="L4" s="5" t="inlineStr">
        <is>
          <t>Notes</t>
        </is>
      </c>
    </row>
    <row r="5">
      <c r="A5" s="6" t="inlineStr">
        <is>
          <t>V001</t>
        </is>
      </c>
      <c r="B5" s="6" t="inlineStr">
        <is>
          <t>Sweep</t>
        </is>
      </c>
      <c r="C5" s="6" t="inlineStr">
        <is>
          <t>Sweep range</t>
        </is>
      </c>
      <c r="D5" s="6" t="inlineStr">
        <is>
          <t>1 kHz – 3.5 MHz</t>
        </is>
      </c>
      <c r="E5" s="6" t="inlineStr">
        <is>
          <t>Hz</t>
        </is>
      </c>
      <c r="F5" s="6" t="inlineStr">
        <is>
          <t>Swept sine, AD5932 generator</t>
        </is>
      </c>
      <c r="G5" s="6" t="inlineStr">
        <is>
          <t>S1</t>
        </is>
      </c>
      <c r="H5" s="6">
        <f>IFERROR(INDEX(Sources!$B:$B,MATCH(G5,Sources!$A:$A,0)),"")</f>
        <v/>
      </c>
      <c r="I5" s="6" t="inlineStr">
        <is>
          <t>Hardware section</t>
        </is>
      </c>
      <c r="J5" s="7" t="inlineStr">
        <is>
          <t>In model v0.3</t>
        </is>
      </c>
      <c r="K5" s="6" t="inlineStr">
        <is>
          <t>Sweep grid 1 kHz – 3.4835 MHz</t>
        </is>
      </c>
      <c r="L5" s="6" t="inlineStr"/>
    </row>
    <row r="6">
      <c r="A6" s="6" t="inlineStr">
        <is>
          <t>V002</t>
        </is>
      </c>
      <c r="B6" s="6" t="inlineStr">
        <is>
          <t>Sweep</t>
        </is>
      </c>
      <c r="C6" s="6" t="inlineStr">
        <is>
          <t>Frequency step</t>
        </is>
      </c>
      <c r="D6" s="8" t="n">
        <v>17.5</v>
      </c>
      <c r="E6" s="6" t="inlineStr">
        <is>
          <t>kHz</t>
        </is>
      </c>
      <c r="F6" s="6" t="inlineStr"/>
      <c r="G6" s="6" t="inlineStr">
        <is>
          <t>S1</t>
        </is>
      </c>
      <c r="H6" s="6">
        <f>IFERROR(INDEX(Sources!$B:$B,MATCH(G6,Sources!$A:$A,0)),"")</f>
        <v/>
      </c>
      <c r="I6" s="6" t="inlineStr">
        <is>
          <t>Hardware section</t>
        </is>
      </c>
      <c r="J6" s="7" t="inlineStr">
        <is>
          <t>In model v0.3</t>
        </is>
      </c>
      <c r="K6" s="6" t="inlineStr">
        <is>
          <t>17.5 kHz</t>
        </is>
      </c>
      <c r="L6" s="6" t="inlineStr"/>
    </row>
    <row r="7">
      <c r="A7" s="6" t="inlineStr">
        <is>
          <t>V003</t>
        </is>
      </c>
      <c r="B7" s="6" t="inlineStr">
        <is>
          <t>Sweep</t>
        </is>
      </c>
      <c r="C7" s="6" t="inlineStr">
        <is>
          <t>Steps per sweep</t>
        </is>
      </c>
      <c r="D7" s="8" t="n">
        <v>200</v>
      </c>
      <c r="E7" s="6" t="inlineStr">
        <is>
          <t>count</t>
        </is>
      </c>
      <c r="F7" s="6" t="inlineStr"/>
      <c r="G7" s="6" t="inlineStr">
        <is>
          <t>S1</t>
        </is>
      </c>
      <c r="H7" s="6">
        <f>IFERROR(INDEX(Sources!$B:$B,MATCH(G7,Sources!$A:$A,0)),"")</f>
        <v/>
      </c>
      <c r="I7" s="6" t="inlineStr">
        <is>
          <t>Hardware section</t>
        </is>
      </c>
      <c r="J7" s="7" t="inlineStr">
        <is>
          <t>In model v0.3</t>
        </is>
      </c>
      <c r="K7" s="6" t="inlineStr">
        <is>
          <t>200</t>
        </is>
      </c>
      <c r="L7" s="6" t="inlineStr"/>
    </row>
    <row r="8">
      <c r="A8" s="6" t="inlineStr">
        <is>
          <t>V004</t>
        </is>
      </c>
      <c r="B8" s="6" t="inlineStr">
        <is>
          <t>Sweep</t>
        </is>
      </c>
      <c r="C8" s="6" t="inlineStr">
        <is>
          <t>Excitation amplitude</t>
        </is>
      </c>
      <c r="D8" s="8" t="n">
        <v>6.6</v>
      </c>
      <c r="E8" s="6" t="inlineStr">
        <is>
          <t>V p-p</t>
        </is>
      </c>
      <c r="F8" s="6" t="inlineStr">
        <is>
          <t>After amplification</t>
        </is>
      </c>
      <c r="G8" s="6" t="inlineStr">
        <is>
          <t>S1</t>
        </is>
      </c>
      <c r="H8" s="6">
        <f>IFERROR(INDEX(Sources!$B:$B,MATCH(G8,Sources!$A:$A,0)),"")</f>
        <v/>
      </c>
      <c r="I8" s="6" t="inlineStr">
        <is>
          <t>Hardware section</t>
        </is>
      </c>
      <c r="J8" s="9" t="inlineStr">
        <is>
          <t>Context only</t>
        </is>
      </c>
      <c r="K8" s="6" t="inlineStr">
        <is>
          <t>Results in % of full scale; cancels out</t>
        </is>
      </c>
      <c r="L8" s="6" t="inlineStr"/>
    </row>
    <row r="9">
      <c r="A9" s="6" t="inlineStr">
        <is>
          <t>V005</t>
        </is>
      </c>
      <c r="B9" s="6" t="inlineStr">
        <is>
          <t>Sweep</t>
        </is>
      </c>
      <c r="C9" s="6" t="inlineStr">
        <is>
          <t>Sweep duration</t>
        </is>
      </c>
      <c r="D9" s="8" t="n">
        <v>33</v>
      </c>
      <c r="E9" s="6" t="inlineStr">
        <is>
          <t>ms</t>
        </is>
      </c>
      <c r="F9" s="6" t="inlineStr">
        <is>
          <t>~33 Hz update; ~100 Hz if only high band swept</t>
        </is>
      </c>
      <c r="G9" s="6" t="inlineStr">
        <is>
          <t>S1</t>
        </is>
      </c>
      <c r="H9" s="6">
        <f>IFERROR(INDEX(Sources!$B:$B,MATCH(G9,Sources!$A:$A,0)),"")</f>
        <v/>
      </c>
      <c r="I9" s="6" t="inlineStr">
        <is>
          <t>Hardware section</t>
        </is>
      </c>
      <c r="J9" s="7" t="inlineStr">
        <is>
          <t>In model v0.3</t>
        </is>
      </c>
      <c r="K9" s="6" t="inlineStr">
        <is>
          <t>Basis of 5 frames/s pipeline</t>
        </is>
      </c>
      <c r="L9" s="6" t="inlineStr"/>
    </row>
    <row r="10">
      <c r="A10" s="6" t="inlineStr">
        <is>
          <t>V006</t>
        </is>
      </c>
      <c r="B10" s="6" t="inlineStr">
        <is>
          <t>Circuit</t>
        </is>
      </c>
      <c r="C10" s="6" t="inlineStr">
        <is>
          <t>Bias inductor Lb</t>
        </is>
      </c>
      <c r="D10" s="6" t="inlineStr">
        <is>
          <t>~100</t>
        </is>
      </c>
      <c r="E10" s="6" t="inlineStr">
        <is>
          <t>mH</t>
        </is>
      </c>
      <c r="F10" s="6" t="inlineStr">
        <is>
          <t>Tunes sensitivity at lower frequencies</t>
        </is>
      </c>
      <c r="G10" s="6" t="inlineStr">
        <is>
          <t>S1</t>
        </is>
      </c>
      <c r="H10" s="6">
        <f>IFERROR(INDEX(Sources!$B:$B,MATCH(G10,Sources!$A:$A,0)),"")</f>
        <v/>
      </c>
      <c r="I10" s="6" t="inlineStr">
        <is>
          <t>Hardware section</t>
        </is>
      </c>
      <c r="J10" s="9" t="inlineStr">
        <is>
          <t>Context only</t>
        </is>
      </c>
      <c r="K10" s="6" t="inlineStr">
        <is>
          <t>Model uses Arduino version 10 mH (S3)</t>
        </is>
      </c>
      <c r="L10" s="6" t="inlineStr"/>
    </row>
    <row r="11">
      <c r="A11" s="6" t="inlineStr">
        <is>
          <t>V007</t>
        </is>
      </c>
      <c r="B11" s="6" t="inlineStr">
        <is>
          <t>Measurement</t>
        </is>
      </c>
      <c r="C11" s="6" t="inlineStr">
        <is>
          <t>Measured quantity</t>
        </is>
      </c>
      <c r="D11" s="6" t="inlineStr">
        <is>
          <t>Amplitude only</t>
        </is>
      </c>
      <c r="E11" s="6" t="inlineStr">
        <is>
          <t>-</t>
        </is>
      </c>
      <c r="F11" s="6" t="inlineStr">
        <is>
          <t>Envelope detector; phase not measured</t>
        </is>
      </c>
      <c r="G11" s="6" t="inlineStr">
        <is>
          <t>S1</t>
        </is>
      </c>
      <c r="H11" s="6">
        <f>IFERROR(INDEX(Sources!$B:$B,MATCH(G11,Sources!$A:$A,0)),"")</f>
        <v/>
      </c>
      <c r="I11" s="6" t="inlineStr">
        <is>
          <t>Hardware section</t>
        </is>
      </c>
      <c r="J11" s="7" t="inlineStr">
        <is>
          <t>In model v0.3</t>
        </is>
      </c>
      <c r="K11" s="6" t="inlineStr">
        <is>
          <t>Amplitude-only score and classifier</t>
        </is>
      </c>
      <c r="L11" s="6" t="inlineStr"/>
    </row>
    <row r="12">
      <c r="A12" s="6" t="inlineStr">
        <is>
          <t>V008</t>
        </is>
      </c>
      <c r="B12" s="6" t="inlineStr">
        <is>
          <t>Measurement</t>
        </is>
      </c>
      <c r="C12" s="6" t="inlineStr">
        <is>
          <t>ADC resolution</t>
        </is>
      </c>
      <c r="D12" s="8" t="n">
        <v>12</v>
      </c>
      <c r="E12" s="6" t="inlineStr">
        <is>
          <t>bit</t>
        </is>
      </c>
      <c r="F12" s="6" t="inlineStr">
        <is>
          <t>Max 200 kHz sampling</t>
        </is>
      </c>
      <c r="G12" s="6" t="inlineStr">
        <is>
          <t>S1</t>
        </is>
      </c>
      <c r="H12" s="6">
        <f>IFERROR(INDEX(Sources!$B:$B,MATCH(G12,Sources!$A:$A,0)),"")</f>
        <v/>
      </c>
      <c r="I12" s="6" t="inlineStr">
        <is>
          <t>Hardware section</t>
        </is>
      </c>
      <c r="J12" s="7" t="inlineStr">
        <is>
          <t>In model v0.3</t>
        </is>
      </c>
      <c r="K12" s="6" t="inlineStr">
        <is>
          <t>Basis of noise estimate</t>
        </is>
      </c>
      <c r="L12" s="6" t="inlineStr"/>
    </row>
    <row r="13">
      <c r="A13" s="6" t="inlineStr">
        <is>
          <t>V009</t>
        </is>
      </c>
      <c r="B13" s="6" t="inlineStr">
        <is>
          <t>Device</t>
        </is>
      </c>
      <c r="C13" s="6" t="inlineStr">
        <is>
          <t>Sensor board size / mass</t>
        </is>
      </c>
      <c r="D13" s="6" t="inlineStr">
        <is>
          <t>36 × 36 × 5.5 mm, 13.8 g</t>
        </is>
      </c>
      <c r="E13" s="6" t="inlineStr">
        <is>
          <t>-</t>
        </is>
      </c>
      <c r="F13" s="6" t="inlineStr"/>
      <c r="G13" s="6" t="inlineStr">
        <is>
          <t>S1</t>
        </is>
      </c>
      <c r="H13" s="6">
        <f>IFERROR(INDEX(Sources!$B:$B,MATCH(G13,Sources!$A:$A,0)),"")</f>
        <v/>
      </c>
      <c r="I13" s="6" t="inlineStr">
        <is>
          <t>Hardware section</t>
        </is>
      </c>
      <c r="J13" s="9" t="inlineStr">
        <is>
          <t>Context only</t>
        </is>
      </c>
      <c r="K13" s="6" t="inlineStr"/>
      <c r="L13" s="6" t="inlineStr"/>
    </row>
    <row r="14">
      <c r="A14" s="6" t="inlineStr">
        <is>
          <t>V010</t>
        </is>
      </c>
      <c r="B14" s="6" t="inlineStr">
        <is>
          <t>Body</t>
        </is>
      </c>
      <c r="C14" s="6" t="inlineStr">
        <is>
          <t>Trunk internal resistance</t>
        </is>
      </c>
      <c r="D14" s="6" t="inlineStr">
        <is>
          <t>~100</t>
        </is>
      </c>
      <c r="E14" s="6" t="inlineStr">
        <is>
          <t>Ω</t>
        </is>
      </c>
      <c r="F14" s="6" t="inlineStr">
        <is>
          <t>Average</t>
        </is>
      </c>
      <c r="G14" s="6" t="inlineStr">
        <is>
          <t>S1</t>
        </is>
      </c>
      <c r="H14" s="6">
        <f>IFERROR(INDEX(Sources!$B:$B,MATCH(G14,Sources!$A:$A,0)),"")</f>
        <v/>
      </c>
      <c r="I14" s="6" t="inlineStr">
        <is>
          <t>Body-as-sensor section</t>
        </is>
      </c>
      <c r="J14" s="7" t="inlineStr">
        <is>
          <t>In model v0.3</t>
        </is>
      </c>
      <c r="K14" s="6" t="inlineStr">
        <is>
          <t>+100 Ω added to limb resistance</t>
        </is>
      </c>
      <c r="L14" s="6" t="inlineStr"/>
    </row>
    <row r="15">
      <c r="A15" s="6" t="inlineStr">
        <is>
          <t>V011</t>
        </is>
      </c>
      <c r="B15" s="6" t="inlineStr">
        <is>
          <t>Skin</t>
        </is>
      </c>
      <c r="C15" s="6" t="inlineStr">
        <is>
          <t>Dry intact skin resistance</t>
        </is>
      </c>
      <c r="D15" s="6" t="inlineStr">
        <is>
          <t>~1</t>
        </is>
      </c>
      <c r="E15" s="6" t="inlineStr">
        <is>
          <t>MΩ</t>
        </is>
      </c>
      <c r="F15" s="6" t="inlineStr"/>
      <c r="G15" s="6" t="inlineStr">
        <is>
          <t>S1</t>
        </is>
      </c>
      <c r="H15" s="6">
        <f>IFERROR(INDEX(Sources!$B:$B,MATCH(G15,Sources!$A:$A,0)),"")</f>
        <v/>
      </c>
      <c r="I15" s="6" t="inlineStr">
        <is>
          <t>Body-as-sensor section</t>
        </is>
      </c>
      <c r="J15" s="7" t="inlineStr">
        <is>
          <t>In model v0.3</t>
        </is>
      </c>
      <c r="K15" s="6" t="inlineStr">
        <is>
          <t>Dry end of hydration range</t>
        </is>
      </c>
      <c r="L15" s="6" t="inlineStr">
        <is>
          <t>Contact area not stated</t>
        </is>
      </c>
    </row>
    <row r="16">
      <c r="A16" s="6" t="inlineStr">
        <is>
          <t>V012</t>
        </is>
      </c>
      <c r="B16" s="6" t="inlineStr">
        <is>
          <t>Classifier</t>
        </is>
      </c>
      <c r="C16" s="6" t="inlineStr">
        <is>
          <t>Classifier</t>
        </is>
      </c>
      <c r="D16" s="6" t="inlineStr">
        <is>
          <t>SVM (Weka SMO), polynomial kernel, C = 2.0</t>
        </is>
      </c>
      <c r="E16" s="6" t="inlineStr">
        <is>
          <t>-</t>
        </is>
      </c>
      <c r="F16" s="6" t="inlineStr">
        <is>
          <t>Features: 200 raw + derivatives + minima</t>
        </is>
      </c>
      <c r="G16" s="6" t="inlineStr">
        <is>
          <t>S1</t>
        </is>
      </c>
      <c r="H16" s="6">
        <f>IFERROR(INDEX(Sources!$B:$B,MATCH(G16,Sources!$A:$A,0)),"")</f>
        <v/>
      </c>
      <c r="I16" s="6" t="inlineStr">
        <is>
          <t>Classification section</t>
        </is>
      </c>
      <c r="J16" s="7" t="inlineStr">
        <is>
          <t>In model v0.3</t>
        </is>
      </c>
      <c r="K16" s="6" t="inlineStr">
        <is>
          <t>SVM (RBF) and random forest</t>
        </is>
      </c>
      <c r="L16" s="6" t="inlineStr"/>
    </row>
    <row r="17">
      <c r="A17" s="6" t="inlineStr">
        <is>
          <t>V013</t>
        </is>
      </c>
      <c r="B17" s="6" t="inlineStr">
        <is>
          <t>Accuracy</t>
        </is>
      </c>
      <c r="C17" s="6" t="inlineStr">
        <is>
          <t>On-body (wrist-to-wrist), 5 gestures, per user</t>
        </is>
      </c>
      <c r="D17" s="8" t="n">
        <v>84</v>
      </c>
      <c r="E17" s="6" t="inlineStr">
        <is>
          <t>%</t>
        </is>
      </c>
      <c r="F17" s="6" t="inlineStr">
        <is>
          <t>SD 11.4%</t>
        </is>
      </c>
      <c r="G17" s="6" t="inlineStr">
        <is>
          <t>S1</t>
        </is>
      </c>
      <c r="H17" s="6">
        <f>IFERROR(INDEX(Sources!$B:$B,MATCH(G17,Sources!$A:$A,0)),"")</f>
        <v/>
      </c>
      <c r="I17" s="6" t="inlineStr">
        <is>
          <t>Study 4</t>
        </is>
      </c>
      <c r="J17" s="10" t="inlineStr">
        <is>
          <t>Benchmark only</t>
        </is>
      </c>
      <c r="K17" s="6" t="inlineStr"/>
      <c r="L17" s="6" t="inlineStr">
        <is>
          <t>Closest to a wrist-worn sensor</t>
        </is>
      </c>
    </row>
    <row r="18">
      <c r="A18" s="6" t="inlineStr">
        <is>
          <t>V014</t>
        </is>
      </c>
      <c r="B18" s="6" t="inlineStr">
        <is>
          <t>Accuracy</t>
        </is>
      </c>
      <c r="C18" s="6" t="inlineStr">
        <is>
          <t>On-body, 5 gestures, walk-up</t>
        </is>
      </c>
      <c r="D18" s="8" t="n">
        <v>52.9</v>
      </c>
      <c r="E18" s="6" t="inlineStr">
        <is>
          <t>%</t>
        </is>
      </c>
      <c r="F18" s="6" t="inlineStr">
        <is>
          <t>SD 13.8%; no per-user training</t>
        </is>
      </c>
      <c r="G18" s="6" t="inlineStr">
        <is>
          <t>S1</t>
        </is>
      </c>
      <c r="H18" s="6">
        <f>IFERROR(INDEX(Sources!$B:$B,MATCH(G18,Sources!$A:$A,0)),"")</f>
        <v/>
      </c>
      <c r="I18" s="6" t="inlineStr">
        <is>
          <t>Study 4</t>
        </is>
      </c>
      <c r="J18" s="10" t="inlineStr">
        <is>
          <t>Benchmark only</t>
        </is>
      </c>
      <c r="K18" s="6" t="inlineStr"/>
      <c r="L18" s="6" t="inlineStr"/>
    </row>
    <row r="19">
      <c r="A19" s="6" t="inlineStr">
        <is>
          <t>V015</t>
        </is>
      </c>
      <c r="B19" s="6" t="inlineStr">
        <is>
          <t>Accuracy</t>
        </is>
      </c>
      <c r="C19" s="6" t="inlineStr">
        <is>
          <t>On-body, 3 gestures, walk-up</t>
        </is>
      </c>
      <c r="D19" s="8" t="n">
        <v>87.09999999999999</v>
      </c>
      <c r="E19" s="6" t="inlineStr">
        <is>
          <t>%</t>
        </is>
      </c>
      <c r="F19" s="6" t="inlineStr">
        <is>
          <t>SD 12.5%</t>
        </is>
      </c>
      <c r="G19" s="6" t="inlineStr">
        <is>
          <t>S1</t>
        </is>
      </c>
      <c r="H19" s="6">
        <f>IFERROR(INDEX(Sources!$B:$B,MATCH(G19,Sources!$A:$A,0)),"")</f>
        <v/>
      </c>
      <c r="I19" s="6" t="inlineStr">
        <is>
          <t>Study 4</t>
        </is>
      </c>
      <c r="J19" s="10" t="inlineStr">
        <is>
          <t>Benchmark only</t>
        </is>
      </c>
      <c r="K19" s="6" t="inlineStr"/>
      <c r="L19" s="6" t="inlineStr"/>
    </row>
    <row r="20">
      <c r="A20" s="6" t="inlineStr">
        <is>
          <t>V016</t>
        </is>
      </c>
      <c r="B20" s="6" t="inlineStr">
        <is>
          <t>Accuracy</t>
        </is>
      </c>
      <c r="C20" s="6" t="inlineStr">
        <is>
          <t>Mobile mockup (ungrounded), 5 gestures</t>
        </is>
      </c>
      <c r="D20" s="8" t="n">
        <v>93.3</v>
      </c>
      <c r="E20" s="6" t="inlineStr">
        <is>
          <t>%</t>
        </is>
      </c>
      <c r="F20" s="6" t="inlineStr">
        <is>
          <t>SD 6.2%; walk-up 76.1%</t>
        </is>
      </c>
      <c r="G20" s="6" t="inlineStr">
        <is>
          <t>S1</t>
        </is>
      </c>
      <c r="H20" s="6">
        <f>IFERROR(INDEX(Sources!$B:$B,MATCH(G20,Sources!$A:$A,0)),"")</f>
        <v/>
      </c>
      <c r="I20" s="6" t="inlineStr">
        <is>
          <t>Study 3</t>
        </is>
      </c>
      <c r="J20" s="10" t="inlineStr">
        <is>
          <t>Benchmark only</t>
        </is>
      </c>
      <c r="K20" s="6" t="inlineStr"/>
      <c r="L20" s="6" t="inlineStr">
        <is>
          <t>Authors call it the hardest setup</t>
        </is>
      </c>
    </row>
    <row r="21">
      <c r="A21" s="6" t="inlineStr">
        <is>
          <t>V017</t>
        </is>
      </c>
      <c r="B21" s="6" t="inlineStr">
        <is>
          <t>Accuracy</t>
        </is>
      </c>
      <c r="C21" s="6" t="inlineStr">
        <is>
          <t>Doorknob (grounded), 5 gestures</t>
        </is>
      </c>
      <c r="D21" s="8" t="n">
        <v>96.7</v>
      </c>
      <c r="E21" s="6" t="inlineStr">
        <is>
          <t>%</t>
        </is>
      </c>
      <c r="F21" s="6" t="inlineStr">
        <is>
          <t>SD 5.6%</t>
        </is>
      </c>
      <c r="G21" s="6" t="inlineStr">
        <is>
          <t>S1</t>
        </is>
      </c>
      <c r="H21" s="6">
        <f>IFERROR(INDEX(Sources!$B:$B,MATCH(G21,Sources!$A:$A,0)),"")</f>
        <v/>
      </c>
      <c r="I21" s="6" t="inlineStr">
        <is>
          <t>Study 1</t>
        </is>
      </c>
      <c r="J21" s="10" t="inlineStr">
        <is>
          <t>Benchmark only</t>
        </is>
      </c>
      <c r="K21" s="6" t="inlineStr"/>
      <c r="L21" s="6" t="inlineStr"/>
    </row>
    <row r="22">
      <c r="A22" s="6" t="inlineStr">
        <is>
          <t>V018</t>
        </is>
      </c>
      <c r="B22" s="6" t="inlineStr">
        <is>
          <t>Accuracy</t>
        </is>
      </c>
      <c r="C22" s="6" t="inlineStr">
        <is>
          <t>Table (body configuration), 7 gestures</t>
        </is>
      </c>
      <c r="D22" s="8" t="n">
        <v>92.59999999999999</v>
      </c>
      <c r="E22" s="6" t="inlineStr">
        <is>
          <t>%</t>
        </is>
      </c>
      <c r="F22" s="6" t="inlineStr">
        <is>
          <t>SD 9.4%</t>
        </is>
      </c>
      <c r="G22" s="6" t="inlineStr">
        <is>
          <t>S1</t>
        </is>
      </c>
      <c r="H22" s="6">
        <f>IFERROR(INDEX(Sources!$B:$B,MATCH(G22,Sources!$A:$A,0)),"")</f>
        <v/>
      </c>
      <c r="I22" s="6" t="inlineStr">
        <is>
          <t>Study 2</t>
        </is>
      </c>
      <c r="J22" s="10" t="inlineStr">
        <is>
          <t>Benchmark only</t>
        </is>
      </c>
      <c r="K22" s="6" t="inlineStr"/>
      <c r="L22" s="6" t="inlineStr"/>
    </row>
    <row r="23">
      <c r="A23" s="6" t="inlineStr">
        <is>
          <t>V019</t>
        </is>
      </c>
      <c r="B23" s="6" t="inlineStr">
        <is>
          <t>Accuracy</t>
        </is>
      </c>
      <c r="C23" s="6" t="inlineStr">
        <is>
          <t>Liquid (fish tank), 5 gestures</t>
        </is>
      </c>
      <c r="D23" s="8" t="n">
        <v>99.8</v>
      </c>
      <c r="E23" s="6" t="inlineStr">
        <is>
          <t>%</t>
        </is>
      </c>
      <c r="F23" s="6" t="inlineStr">
        <is>
          <t>SD 0.8%</t>
        </is>
      </c>
      <c r="G23" s="6" t="inlineStr">
        <is>
          <t>S1</t>
        </is>
      </c>
      <c r="H23" s="6">
        <f>IFERROR(INDEX(Sources!$B:$B,MATCH(G23,Sources!$A:$A,0)),"")</f>
        <v/>
      </c>
      <c r="I23" s="6" t="inlineStr">
        <is>
          <t>Study 5</t>
        </is>
      </c>
      <c r="J23" s="10" t="inlineStr">
        <is>
          <t>Benchmark only</t>
        </is>
      </c>
      <c r="K23" s="6" t="inlineStr"/>
      <c r="L23" s="6" t="inlineStr">
        <is>
          <t>Source of the '99%' headline</t>
        </is>
      </c>
    </row>
    <row r="24">
      <c r="A24" s="6" t="inlineStr">
        <is>
          <t>V020</t>
        </is>
      </c>
      <c r="B24" s="6" t="inlineStr">
        <is>
          <t>Accuracy</t>
        </is>
      </c>
      <c r="C24" s="6" t="inlineStr">
        <is>
          <t>Participants</t>
        </is>
      </c>
      <c r="D24" s="8" t="n">
        <v>12</v>
      </c>
      <c r="E24" s="6" t="inlineStr">
        <is>
          <t>people</t>
        </is>
      </c>
      <c r="F24" s="6" t="inlineStr">
        <is>
          <t>9 male, 3 female (studies 1-4)</t>
        </is>
      </c>
      <c r="G24" s="6" t="inlineStr">
        <is>
          <t>S1</t>
        </is>
      </c>
      <c r="H24" s="6">
        <f>IFERROR(INDEX(Sources!$B:$B,MATCH(G24,Sources!$A:$A,0)),"")</f>
        <v/>
      </c>
      <c r="I24" s="6" t="inlineStr">
        <is>
          <t>Studies</t>
        </is>
      </c>
      <c r="J24" s="10" t="inlineStr">
        <is>
          <t>Benchmark only</t>
        </is>
      </c>
      <c r="K24" s="6" t="inlineStr"/>
      <c r="L24" s="6" t="inlineStr"/>
    </row>
    <row r="25">
      <c r="A25" s="6" t="inlineStr">
        <is>
          <t>V021</t>
        </is>
      </c>
      <c r="B25" s="6" t="inlineStr">
        <is>
          <t>Sweep</t>
        </is>
      </c>
      <c r="C25" s="6" t="inlineStr">
        <is>
          <t>Sweep range / steps</t>
        </is>
      </c>
      <c r="D25" s="6" t="inlineStr">
        <is>
          <t>1 kHz – 3.5 MHz, 200 steps</t>
        </is>
      </c>
      <c r="E25" s="6" t="inlineStr">
        <is>
          <t>-</t>
        </is>
      </c>
      <c r="F25" s="6" t="inlineStr"/>
      <c r="G25" s="6" t="inlineStr">
        <is>
          <t>S2</t>
        </is>
      </c>
      <c r="H25" s="6">
        <f>IFERROR(INDEX(Sources!$B:$B,MATCH(G25,Sources!$A:$A,0)),"")</f>
        <v/>
      </c>
      <c r="I25" s="6" t="inlineStr">
        <is>
          <t>Implementation</t>
        </is>
      </c>
      <c r="J25" s="7" t="inlineStr">
        <is>
          <t>In model v0.3</t>
        </is>
      </c>
      <c r="K25" s="6" t="inlineStr">
        <is>
          <t>Same as S1</t>
        </is>
      </c>
      <c r="L25" s="6" t="inlineStr"/>
    </row>
    <row r="26">
      <c r="A26" s="6" t="inlineStr">
        <is>
          <t>V022</t>
        </is>
      </c>
      <c r="B26" s="6" t="inlineStr">
        <is>
          <t>Safety</t>
        </is>
      </c>
      <c r="C26" s="6" t="inlineStr">
        <is>
          <t>Current through body</t>
        </is>
      </c>
      <c r="D26" s="6" t="inlineStr">
        <is>
          <t>&lt; 0.5</t>
        </is>
      </c>
      <c r="E26" s="6" t="inlineStr">
        <is>
          <t>mA</t>
        </is>
      </c>
      <c r="F26" s="6" t="inlineStr">
        <is>
          <t>6.6 V p-p sine</t>
        </is>
      </c>
      <c r="G26" s="6" t="inlineStr">
        <is>
          <t>S2</t>
        </is>
      </c>
      <c r="H26" s="6">
        <f>IFERROR(INDEX(Sources!$B:$B,MATCH(G26,Sources!$A:$A,0)),"")</f>
        <v/>
      </c>
      <c r="I26" s="6" t="inlineStr">
        <is>
          <t>Implementation</t>
        </is>
      </c>
      <c r="J26" s="9" t="inlineStr">
        <is>
          <t>Context only</t>
        </is>
      </c>
      <c r="K26" s="6" t="inlineStr"/>
      <c r="L26" s="6" t="inlineStr">
        <is>
          <t>Described as safe</t>
        </is>
      </c>
    </row>
    <row r="27">
      <c r="A27" s="6" t="inlineStr">
        <is>
          <t>V023</t>
        </is>
      </c>
      <c r="B27" s="6" t="inlineStr">
        <is>
          <t>Accuracy</t>
        </is>
      </c>
      <c r="C27" s="6" t="inlineStr">
        <is>
          <t>User differentiation, 8 s training</t>
        </is>
      </c>
      <c r="D27" s="8" t="n">
        <v>97.3</v>
      </c>
      <c r="E27" s="6" t="inlineStr">
        <is>
          <t>%</t>
        </is>
      </c>
      <c r="F27" s="6" t="inlineStr">
        <is>
          <t>SD 5.9%; 11 people, 55 pairings</t>
        </is>
      </c>
      <c r="G27" s="6" t="inlineStr">
        <is>
          <t>S2</t>
        </is>
      </c>
      <c r="H27" s="6">
        <f>IFERROR(INDEX(Sources!$B:$B,MATCH(G27,Sources!$A:$A,0)),"")</f>
        <v/>
      </c>
      <c r="I27" s="6" t="inlineStr">
        <is>
          <t>Results</t>
        </is>
      </c>
      <c r="J27" s="10" t="inlineStr">
        <is>
          <t>Benchmark only</t>
        </is>
      </c>
      <c r="K27" s="6" t="inlineStr"/>
      <c r="L27" s="6" t="inlineStr"/>
    </row>
    <row r="28">
      <c r="A28" s="6" t="inlineStr">
        <is>
          <t>V024</t>
        </is>
      </c>
      <c r="B28" s="6" t="inlineStr">
        <is>
          <t>Accuracy</t>
        </is>
      </c>
      <c r="C28" s="6" t="inlineStr">
        <is>
          <t>User differentiation, 0.1 s training</t>
        </is>
      </c>
      <c r="D28" s="8" t="n">
        <v>84.5</v>
      </c>
      <c r="E28" s="6" t="inlineStr">
        <is>
          <t>%</t>
        </is>
      </c>
      <c r="F28" s="6" t="inlineStr">
        <is>
          <t>SD 18.9%</t>
        </is>
      </c>
      <c r="G28" s="6" t="inlineStr">
        <is>
          <t>S2</t>
        </is>
      </c>
      <c r="H28" s="6">
        <f>IFERROR(INDEX(Sources!$B:$B,MATCH(G28,Sources!$A:$A,0)),"")</f>
        <v/>
      </c>
      <c r="I28" s="6" t="inlineStr">
        <is>
          <t>Results</t>
        </is>
      </c>
      <c r="J28" s="10" t="inlineStr">
        <is>
          <t>Benchmark only</t>
        </is>
      </c>
      <c r="K28" s="6" t="inlineStr"/>
      <c r="L28" s="6" t="inlineStr"/>
    </row>
    <row r="29">
      <c r="A29" s="6" t="inlineStr">
        <is>
          <t>V025</t>
        </is>
      </c>
      <c r="B29" s="6" t="inlineStr">
        <is>
          <t>Accuracy</t>
        </is>
      </c>
      <c r="C29" s="6" t="inlineStr">
        <is>
          <t>Best single frequency (753.5 kHz)</t>
        </is>
      </c>
      <c r="D29" s="8" t="n">
        <v>87.3</v>
      </c>
      <c r="E29" s="6" t="inlineStr">
        <is>
          <t>%</t>
        </is>
      </c>
      <c r="F29" s="6" t="inlineStr">
        <is>
          <t>vs 97.3% for full sweep</t>
        </is>
      </c>
      <c r="G29" s="6" t="inlineStr">
        <is>
          <t>S2</t>
        </is>
      </c>
      <c r="H29" s="6">
        <f>IFERROR(INDEX(Sources!$B:$B,MATCH(G29,Sources!$A:$A,0)),"")</f>
        <v/>
      </c>
      <c r="I29" s="6" t="inlineStr">
        <is>
          <t>Results</t>
        </is>
      </c>
      <c r="J29" s="10" t="inlineStr">
        <is>
          <t>Benchmark only</t>
        </is>
      </c>
      <c r="K29" s="6" t="inlineStr">
        <is>
          <t>Supports using the full sweep</t>
        </is>
      </c>
      <c r="L29" s="6" t="inlineStr"/>
    </row>
    <row r="30">
      <c r="A30" s="6" t="inlineStr">
        <is>
          <t>V026</t>
        </is>
      </c>
      <c r="B30" s="6" t="inlineStr">
        <is>
          <t>Body</t>
        </is>
      </c>
      <c r="C30" s="6" t="inlineStr">
        <is>
          <t>Bone resistivity</t>
        </is>
      </c>
      <c r="D30" s="6" t="inlineStr">
        <is>
          <t>45 → 90</t>
        </is>
      </c>
      <c r="E30" s="6" t="inlineStr">
        <is>
          <t>Ω·m</t>
        </is>
      </c>
      <c r="F30" s="6" t="inlineStr">
        <is>
          <t>1 kHz → 1 MHz (cited from their ref 11)</t>
        </is>
      </c>
      <c r="G30" s="6" t="inlineStr">
        <is>
          <t>S2</t>
        </is>
      </c>
      <c r="H30" s="6">
        <f>IFERROR(INDEX(Sources!$B:$B,MATCH(G30,Sources!$A:$A,0)),"")</f>
        <v/>
      </c>
      <c r="I30" s="6" t="inlineStr">
        <is>
          <t>Background</t>
        </is>
      </c>
      <c r="J30" s="9" t="inlineStr">
        <is>
          <t>Context only</t>
        </is>
      </c>
      <c r="K30" s="6" t="inlineStr"/>
      <c r="L30" s="6" t="inlineStr"/>
    </row>
    <row r="31">
      <c r="A31" s="6" t="inlineStr">
        <is>
          <t>V027</t>
        </is>
      </c>
      <c r="B31" s="6" t="inlineStr">
        <is>
          <t>Drift</t>
        </is>
      </c>
      <c r="C31" s="6" t="inlineStr">
        <is>
          <t>Calibration drift over a day</t>
        </is>
      </c>
      <c r="D31" s="6" t="inlineStr">
        <is>
          <t>Qualitative</t>
        </is>
      </c>
      <c r="E31" s="6" t="inlineStr">
        <is>
          <t>-</t>
        </is>
      </c>
      <c r="F31" s="6" t="inlineStr">
        <is>
          <t>Temperature, humidity, hydration; re-login needed after hours</t>
        </is>
      </c>
      <c r="G31" s="6" t="inlineStr">
        <is>
          <t>S2</t>
        </is>
      </c>
      <c r="H31" s="6">
        <f>IFERROR(INDEX(Sources!$B:$B,MATCH(G31,Sources!$A:$A,0)),"")</f>
        <v/>
      </c>
      <c r="I31" s="6" t="inlineStr">
        <is>
          <t>Discussion</t>
        </is>
      </c>
      <c r="J31" s="7" t="inlineStr">
        <is>
          <t>In model v0.3</t>
        </is>
      </c>
      <c r="K31" s="6" t="inlineStr">
        <is>
          <t>Adaptive baseline in pipeline</t>
        </is>
      </c>
      <c r="L31" s="6" t="inlineStr">
        <is>
          <t>No numbers given</t>
        </is>
      </c>
    </row>
    <row r="32">
      <c r="A32" s="6" t="inlineStr">
        <is>
          <t>V028</t>
        </is>
      </c>
      <c r="B32" s="6" t="inlineStr">
        <is>
          <t>Circuit</t>
        </is>
      </c>
      <c r="C32" s="6" t="inlineStr">
        <is>
          <t>Series resistor R1</t>
        </is>
      </c>
      <c r="D32" s="8" t="n">
        <v>10</v>
      </c>
      <c r="E32" s="6" t="inlineStr">
        <is>
          <t>kΩ</t>
        </is>
      </c>
      <c r="F32" s="6" t="inlineStr">
        <is>
          <t>Arduino SFCS circuit, Fig. 2</t>
        </is>
      </c>
      <c r="G32" s="6" t="inlineStr">
        <is>
          <t>S3</t>
        </is>
      </c>
      <c r="H32" s="6">
        <f>IFERROR(INDEX(Sources!$B:$B,MATCH(G32,Sources!$A:$A,0)),"")</f>
        <v/>
      </c>
      <c r="I32" s="6" t="inlineStr">
        <is>
          <t>Fig. 2</t>
        </is>
      </c>
      <c r="J32" s="7" t="inlineStr">
        <is>
          <t>In model v0.3</t>
        </is>
      </c>
      <c r="K32" s="6" t="inlineStr">
        <is>
          <t>Rs = 10 kΩ</t>
        </is>
      </c>
      <c r="L32" s="6" t="inlineStr"/>
    </row>
    <row r="33">
      <c r="A33" s="6" t="inlineStr">
        <is>
          <t>V029</t>
        </is>
      </c>
      <c r="B33" s="6" t="inlineStr">
        <is>
          <t>Circuit</t>
        </is>
      </c>
      <c r="C33" s="6" t="inlineStr">
        <is>
          <t>Inductor L1</t>
        </is>
      </c>
      <c r="D33" s="8" t="n">
        <v>10</v>
      </c>
      <c r="E33" s="6" t="inlineStr">
        <is>
          <t>mH</t>
        </is>
      </c>
      <c r="F33" s="6" t="inlineStr"/>
      <c r="G33" s="6" t="inlineStr">
        <is>
          <t>S3</t>
        </is>
      </c>
      <c r="H33" s="6">
        <f>IFERROR(INDEX(Sources!$B:$B,MATCH(G33,Sources!$A:$A,0)),"")</f>
        <v/>
      </c>
      <c r="I33" s="6" t="inlineStr">
        <is>
          <t>Fig. 2</t>
        </is>
      </c>
      <c r="J33" s="7" t="inlineStr">
        <is>
          <t>In model v0.3</t>
        </is>
      </c>
      <c r="K33" s="6" t="inlineStr">
        <is>
          <t>L = 10 mH ±5%</t>
        </is>
      </c>
      <c r="L33" s="6" t="inlineStr"/>
    </row>
    <row r="34">
      <c r="A34" s="6" t="inlineStr">
        <is>
          <t>V030</t>
        </is>
      </c>
      <c r="B34" s="6" t="inlineStr">
        <is>
          <t>Circuit</t>
        </is>
      </c>
      <c r="C34" s="6" t="inlineStr">
        <is>
          <t>Tank capacitor C2</t>
        </is>
      </c>
      <c r="D34" s="8" t="n">
        <v>100</v>
      </c>
      <c r="E34" s="6" t="inlineStr">
        <is>
          <t>pF</t>
        </is>
      </c>
      <c r="F34" s="6" t="inlineStr">
        <is>
          <t>Listed as 0.1 nF</t>
        </is>
      </c>
      <c r="G34" s="6" t="inlineStr">
        <is>
          <t>S3</t>
        </is>
      </c>
      <c r="H34" s="6">
        <f>IFERROR(INDEX(Sources!$B:$B,MATCH(G34,Sources!$A:$A,0)),"")</f>
        <v/>
      </c>
      <c r="I34" s="6" t="inlineStr">
        <is>
          <t>Fig. 2</t>
        </is>
      </c>
      <c r="J34" s="7" t="inlineStr">
        <is>
          <t>In model v0.3</t>
        </is>
      </c>
      <c r="K34" s="6" t="inlineStr">
        <is>
          <t>Ctank = 100 pF ±5%</t>
        </is>
      </c>
      <c r="L34" s="6" t="inlineStr"/>
    </row>
    <row r="35">
      <c r="A35" s="6" t="inlineStr">
        <is>
          <t>V031</t>
        </is>
      </c>
      <c r="B35" s="6" t="inlineStr">
        <is>
          <t>Circuit</t>
        </is>
      </c>
      <c r="C35" s="6" t="inlineStr">
        <is>
          <t>Envelope detector</t>
        </is>
      </c>
      <c r="D35" s="6" t="inlineStr">
        <is>
          <t>1N4148, 10 nF, 1 MΩ, 3.3 kΩ</t>
        </is>
      </c>
      <c r="E35" s="6" t="inlineStr">
        <is>
          <t>-</t>
        </is>
      </c>
      <c r="F35" s="6" t="inlineStr"/>
      <c r="G35" s="6" t="inlineStr">
        <is>
          <t>S3</t>
        </is>
      </c>
      <c r="H35" s="6">
        <f>IFERROR(INDEX(Sources!$B:$B,MATCH(G35,Sources!$A:$A,0)),"")</f>
        <v/>
      </c>
      <c r="I35" s="6" t="inlineStr">
        <is>
          <t>Fig. 2</t>
        </is>
      </c>
      <c r="J35" s="9" t="inlineStr">
        <is>
          <t>Context only</t>
        </is>
      </c>
      <c r="K35" s="6" t="inlineStr"/>
      <c r="L35" s="6" t="inlineStr"/>
    </row>
    <row r="36">
      <c r="A36" s="6" t="inlineStr">
        <is>
          <t>V032</t>
        </is>
      </c>
      <c r="B36" s="6" t="inlineStr">
        <is>
          <t>Sweep</t>
        </is>
      </c>
      <c r="C36" s="6" t="inlineStr">
        <is>
          <t>Max frequencies per sweep (Arduino library)</t>
        </is>
      </c>
      <c r="D36" s="8" t="n">
        <v>198</v>
      </c>
      <c r="E36" s="6" t="inlineStr">
        <is>
          <t>count</t>
        </is>
      </c>
      <c r="F36" s="6" t="inlineStr"/>
      <c r="G36" s="6" t="inlineStr">
        <is>
          <t>S3</t>
        </is>
      </c>
      <c r="H36" s="6">
        <f>IFERROR(INDEX(Sources!$B:$B,MATCH(G36,Sources!$A:$A,0)),"")</f>
        <v/>
      </c>
      <c r="I36" s="6" t="inlineStr">
        <is>
          <t>Text</t>
        </is>
      </c>
      <c r="J36" s="9" t="inlineStr">
        <is>
          <t>Context only</t>
        </is>
      </c>
      <c r="K36" s="6" t="inlineStr"/>
      <c r="L36" s="6" t="inlineStr"/>
    </row>
    <row r="37">
      <c r="A37" s="6" t="inlineStr">
        <is>
          <t>V033</t>
        </is>
      </c>
      <c r="B37" s="6" t="inlineStr">
        <is>
          <t>Body</t>
        </is>
      </c>
      <c r="C37" s="6" t="inlineStr">
        <is>
          <t>Body capacitance: polymer shoes, linoleum</t>
        </is>
      </c>
      <c r="D37" s="6" t="inlineStr">
        <is>
          <t>160–170</t>
        </is>
      </c>
      <c r="E37" s="6" t="inlineStr">
        <is>
          <t>pF</t>
        </is>
      </c>
      <c r="F37" s="6" t="inlineStr">
        <is>
          <t>AC bridge, 1 kHz</t>
        </is>
      </c>
      <c r="G37" s="6" t="inlineStr">
        <is>
          <t>S4</t>
        </is>
      </c>
      <c r="H37" s="6">
        <f>IFERROR(INDEX(Sources!$B:$B,MATCH(G37,Sources!$A:$A,0)),"")</f>
        <v/>
      </c>
      <c r="I37" s="6" t="inlineStr">
        <is>
          <t>Table 1</t>
        </is>
      </c>
      <c r="J37" s="7" t="inlineStr">
        <is>
          <t>In model v0.3</t>
        </is>
      </c>
      <c r="K37" s="6" t="inlineStr">
        <is>
          <t>Street shoes 110–170 pF</t>
        </is>
      </c>
      <c r="L37" s="6" t="inlineStr"/>
    </row>
    <row r="38">
      <c r="A38" s="6" t="inlineStr">
        <is>
          <t>V034</t>
        </is>
      </c>
      <c r="B38" s="6" t="inlineStr">
        <is>
          <t>Body</t>
        </is>
      </c>
      <c r="C38" s="6" t="inlineStr">
        <is>
          <t>Body capacitance: polymer shoes, asphalt</t>
        </is>
      </c>
      <c r="D38" s="8" t="n">
        <v>110</v>
      </c>
      <c r="E38" s="6" t="inlineStr">
        <is>
          <t>pF</t>
        </is>
      </c>
      <c r="F38" s="6" t="inlineStr">
        <is>
          <t>AC bridge</t>
        </is>
      </c>
      <c r="G38" s="6" t="inlineStr">
        <is>
          <t>S4</t>
        </is>
      </c>
      <c r="H38" s="6">
        <f>IFERROR(INDEX(Sources!$B:$B,MATCH(G38,Sources!$A:$A,0)),"")</f>
        <v/>
      </c>
      <c r="I38" s="6" t="inlineStr">
        <is>
          <t>Table 1</t>
        </is>
      </c>
      <c r="J38" s="7" t="inlineStr">
        <is>
          <t>In model v0.3</t>
        </is>
      </c>
      <c r="K38" s="6" t="inlineStr">
        <is>
          <t>Street shoes 110–170 pF</t>
        </is>
      </c>
      <c r="L38" s="6" t="inlineStr"/>
    </row>
    <row r="39">
      <c r="A39" s="6" t="inlineStr">
        <is>
          <t>V035</t>
        </is>
      </c>
      <c r="B39" s="6" t="inlineStr">
        <is>
          <t>Body</t>
        </is>
      </c>
      <c r="C39" s="6" t="inlineStr">
        <is>
          <t>Body capacitance: leather shoes, asphalt</t>
        </is>
      </c>
      <c r="D39" s="8" t="n">
        <v>115</v>
      </c>
      <c r="E39" s="6" t="inlineStr">
        <is>
          <t>pF</t>
        </is>
      </c>
      <c r="F39" s="6" t="inlineStr">
        <is>
          <t>AC bridge</t>
        </is>
      </c>
      <c r="G39" s="6" t="inlineStr">
        <is>
          <t>S4</t>
        </is>
      </c>
      <c r="H39" s="6">
        <f>IFERROR(INDEX(Sources!$B:$B,MATCH(G39,Sources!$A:$A,0)),"")</f>
        <v/>
      </c>
      <c r="I39" s="6" t="inlineStr">
        <is>
          <t>Table 2</t>
        </is>
      </c>
      <c r="J39" s="7" t="inlineStr">
        <is>
          <t>In model v0.3</t>
        </is>
      </c>
      <c r="K39" s="6" t="inlineStr">
        <is>
          <t>Street shoes 110–170 pF</t>
        </is>
      </c>
      <c r="L39" s="6" t="inlineStr"/>
    </row>
    <row r="40">
      <c r="A40" s="6" t="inlineStr">
        <is>
          <t>V036</t>
        </is>
      </c>
      <c r="B40" s="6" t="inlineStr">
        <is>
          <t>Body</t>
        </is>
      </c>
      <c r="C40" s="6" t="inlineStr">
        <is>
          <t>Body capacitance: barefoot, linoleum</t>
        </is>
      </c>
      <c r="D40" s="8" t="n">
        <v>250</v>
      </c>
      <c r="E40" s="6" t="inlineStr">
        <is>
          <t>pF</t>
        </is>
      </c>
      <c r="F40" s="6" t="inlineStr">
        <is>
          <t>AC bridge</t>
        </is>
      </c>
      <c r="G40" s="6" t="inlineStr">
        <is>
          <t>S4</t>
        </is>
      </c>
      <c r="H40" s="6">
        <f>IFERROR(INDEX(Sources!$B:$B,MATCH(G40,Sources!$A:$A,0)),"")</f>
        <v/>
      </c>
      <c r="I40" s="6" t="inlineStr">
        <is>
          <t>Table 1</t>
        </is>
      </c>
      <c r="J40" s="7" t="inlineStr">
        <is>
          <t>In model v0.3</t>
        </is>
      </c>
      <c r="K40" s="6" t="inlineStr">
        <is>
          <t>Barefoot 185–250 pF</t>
        </is>
      </c>
      <c r="L40" s="6" t="inlineStr"/>
    </row>
    <row r="41">
      <c r="A41" s="6" t="inlineStr">
        <is>
          <t>V037</t>
        </is>
      </c>
      <c r="B41" s="6" t="inlineStr">
        <is>
          <t>Body</t>
        </is>
      </c>
      <c r="C41" s="6" t="inlineStr">
        <is>
          <t>Body capacitance: barefoot, asphalt</t>
        </is>
      </c>
      <c r="D41" s="8" t="n">
        <v>185</v>
      </c>
      <c r="E41" s="6" t="inlineStr">
        <is>
          <t>pF</t>
        </is>
      </c>
      <c r="F41" s="6" t="inlineStr">
        <is>
          <t>AC bridge</t>
        </is>
      </c>
      <c r="G41" s="6" t="inlineStr">
        <is>
          <t>S4</t>
        </is>
      </c>
      <c r="H41" s="6">
        <f>IFERROR(INDEX(Sources!$B:$B,MATCH(G41,Sources!$A:$A,0)),"")</f>
        <v/>
      </c>
      <c r="I41" s="6" t="inlineStr">
        <is>
          <t>Table 1</t>
        </is>
      </c>
      <c r="J41" s="7" t="inlineStr">
        <is>
          <t>In model v0.3</t>
        </is>
      </c>
      <c r="K41" s="6" t="inlineStr">
        <is>
          <t>Barefoot 185–250 pF</t>
        </is>
      </c>
      <c r="L41" s="6" t="inlineStr"/>
    </row>
    <row r="42">
      <c r="A42" s="6" t="inlineStr">
        <is>
          <t>V038</t>
        </is>
      </c>
      <c r="B42" s="6" t="inlineStr">
        <is>
          <t>Body</t>
        </is>
      </c>
      <c r="C42" s="6" t="inlineStr">
        <is>
          <t>Body capacitance: on plastic over metal</t>
        </is>
      </c>
      <c r="D42" s="6" t="inlineStr">
        <is>
          <t>900–2850</t>
        </is>
      </c>
      <c r="E42" s="6" t="inlineStr">
        <is>
          <t>pF</t>
        </is>
      </c>
      <c r="F42" s="6" t="inlineStr">
        <is>
          <t>AC bridge; condition partly illegible</t>
        </is>
      </c>
      <c r="G42" s="6" t="inlineStr">
        <is>
          <t>S4</t>
        </is>
      </c>
      <c r="H42" s="6">
        <f>IFERROR(INDEX(Sources!$B:$B,MATCH(G42,Sources!$A:$A,0)),"")</f>
        <v/>
      </c>
      <c r="I42" s="6" t="inlineStr">
        <is>
          <t>Table 2</t>
        </is>
      </c>
      <c r="J42" s="9" t="inlineStr">
        <is>
          <t>Context only</t>
        </is>
      </c>
      <c r="K42" s="6" t="inlineStr"/>
      <c r="L42" s="6" t="inlineStr"/>
    </row>
    <row r="43">
      <c r="A43" s="6" t="inlineStr">
        <is>
          <t>V039</t>
        </is>
      </c>
      <c r="B43" s="6" t="inlineStr">
        <is>
          <t>Body</t>
        </is>
      </c>
      <c r="C43" s="6" t="inlineStr">
        <is>
          <t>Body capacitance, charge-sharing method</t>
        </is>
      </c>
      <c r="D43" s="6" t="inlineStr">
        <is>
          <t>200–400</t>
        </is>
      </c>
      <c r="E43" s="6" t="inlineStr">
        <is>
          <t>pF</t>
        </is>
      </c>
      <c r="F43" s="6" t="inlineStr">
        <is>
          <t>50–200% above AC values</t>
        </is>
      </c>
      <c r="G43" s="6" t="inlineStr">
        <is>
          <t>S4</t>
        </is>
      </c>
      <c r="H43" s="6">
        <f>IFERROR(INDEX(Sources!$B:$B,MATCH(G43,Sources!$A:$A,0)),"")</f>
        <v/>
      </c>
      <c r="I43" s="6" t="inlineStr">
        <is>
          <t>Abstract</t>
        </is>
      </c>
      <c r="J43" s="9" t="inlineStr">
        <is>
          <t>Context only</t>
        </is>
      </c>
      <c r="K43" s="6" t="inlineStr">
        <is>
          <t>AC values used (closer to kHz–MHz)</t>
        </is>
      </c>
      <c r="L43" s="6" t="inlineStr"/>
    </row>
    <row r="44">
      <c r="A44" s="6" t="inlineStr">
        <is>
          <t>V040</t>
        </is>
      </c>
      <c r="B44" s="6" t="inlineStr">
        <is>
          <t>Body</t>
        </is>
      </c>
      <c r="C44" s="6" t="inlineStr">
        <is>
          <t>Calculated body-to-walls (cylinder)</t>
        </is>
      </c>
      <c r="D44" s="8" t="n">
        <v>40</v>
      </c>
      <c r="E44" s="6" t="inlineStr">
        <is>
          <t>pF</t>
        </is>
      </c>
      <c r="F44" s="6" t="inlineStr">
        <is>
          <t>h 1.7 m, r 0.2 m, walls 2 m</t>
        </is>
      </c>
      <c r="G44" s="6" t="inlineStr">
        <is>
          <t>S4</t>
        </is>
      </c>
      <c r="H44" s="6">
        <f>IFERROR(INDEX(Sources!$B:$B,MATCH(G44,Sources!$A:$A,0)),"")</f>
        <v/>
      </c>
      <c r="I44" s="6" t="inlineStr">
        <is>
          <t>Calculation</t>
        </is>
      </c>
      <c r="J44" s="9" t="inlineStr">
        <is>
          <t>Context only</t>
        </is>
      </c>
      <c r="K44" s="6" t="inlineStr"/>
      <c r="L44" s="6" t="inlineStr"/>
    </row>
    <row r="45">
      <c r="A45" s="6" t="inlineStr">
        <is>
          <t>V041</t>
        </is>
      </c>
      <c r="B45" s="6" t="inlineStr">
        <is>
          <t>Body</t>
        </is>
      </c>
      <c r="C45" s="6" t="inlineStr">
        <is>
          <t>Calculated feet-to-floor</t>
        </is>
      </c>
      <c r="D45" s="6" t="inlineStr">
        <is>
          <t>70–260</t>
        </is>
      </c>
      <c r="E45" s="6" t="inlineStr">
        <is>
          <t>pF</t>
        </is>
      </c>
      <c r="F45" s="6" t="inlineStr">
        <is>
          <t>Soles 200–300 cm², 5–10 mm, εr 4–5</t>
        </is>
      </c>
      <c r="G45" s="6" t="inlineStr">
        <is>
          <t>S4</t>
        </is>
      </c>
      <c r="H45" s="6">
        <f>IFERROR(INDEX(Sources!$B:$B,MATCH(G45,Sources!$A:$A,0)),"")</f>
        <v/>
      </c>
      <c r="I45" s="6" t="inlineStr">
        <is>
          <t>Calculation</t>
        </is>
      </c>
      <c r="J45" s="9" t="inlineStr">
        <is>
          <t>Context only</t>
        </is>
      </c>
      <c r="K45" s="6" t="inlineStr"/>
      <c r="L45" s="6" t="inlineStr">
        <is>
          <t>Feet dominate body capacitance</t>
        </is>
      </c>
    </row>
    <row r="46">
      <c r="A46" s="6" t="inlineStr">
        <is>
          <t>V042</t>
        </is>
      </c>
      <c r="B46" s="6" t="inlineStr">
        <is>
          <t>Body</t>
        </is>
      </c>
      <c r="C46" s="6" t="inlineStr">
        <is>
          <t>Standard human-body model</t>
        </is>
      </c>
      <c r="D46" s="8" t="n">
        <v>100</v>
      </c>
      <c r="E46" s="6" t="inlineStr">
        <is>
          <t>pF</t>
        </is>
      </c>
      <c r="F46" s="6" t="inlineStr">
        <is>
          <t>ESD standard</t>
        </is>
      </c>
      <c r="G46" s="6" t="inlineStr">
        <is>
          <t>S4</t>
        </is>
      </c>
      <c r="H46" s="6">
        <f>IFERROR(INDEX(Sources!$B:$B,MATCH(G46,Sources!$A:$A,0)),"")</f>
        <v/>
      </c>
      <c r="I46" s="6" t="inlineStr">
        <is>
          <t>Text</t>
        </is>
      </c>
      <c r="J46" s="9" t="inlineStr">
        <is>
          <t>Context only</t>
        </is>
      </c>
      <c r="K46" s="6" t="inlineStr"/>
      <c r="L46" s="6" t="inlineStr"/>
    </row>
    <row r="47">
      <c r="A47" s="6" t="inlineStr">
        <is>
          <t>V043</t>
        </is>
      </c>
      <c r="B47" s="6" t="inlineStr">
        <is>
          <t>Body</t>
        </is>
      </c>
      <c r="C47" s="6" t="inlineStr">
        <is>
          <t>Frequency dependence 100 Hz–10 kHz</t>
        </is>
      </c>
      <c r="D47" s="6" t="inlineStr">
        <is>
          <t>None detected</t>
        </is>
      </c>
      <c r="E47" s="6" t="inlineStr">
        <is>
          <t>-</t>
        </is>
      </c>
      <c r="F47" s="6" t="inlineStr"/>
      <c r="G47" s="6" t="inlineStr">
        <is>
          <t>S4</t>
        </is>
      </c>
      <c r="H47" s="6">
        <f>IFERROR(INDEX(Sources!$B:$B,MATCH(G47,Sources!$A:$A,0)),"")</f>
        <v/>
      </c>
      <c r="I47" s="6" t="inlineStr">
        <is>
          <t>Text</t>
        </is>
      </c>
      <c r="J47" s="9" t="inlineStr">
        <is>
          <t>Context only</t>
        </is>
      </c>
      <c r="K47" s="6" t="inlineStr"/>
      <c r="L47" s="6" t="inlineStr"/>
    </row>
    <row r="48">
      <c r="A48" s="6" t="inlineStr">
        <is>
          <t>V044</t>
        </is>
      </c>
      <c r="B48" s="6" t="inlineStr">
        <is>
          <t>Body</t>
        </is>
      </c>
      <c r="C48" s="6" t="inlineStr">
        <is>
          <t>Body-to-ground capacitance (measured)</t>
        </is>
      </c>
      <c r="D48" s="8" t="n">
        <v>150</v>
      </c>
      <c r="E48" s="6" t="inlineStr">
        <is>
          <t>pF</t>
        </is>
      </c>
      <c r="F48" s="6" t="inlineStr">
        <is>
          <t>Total, split 75 + 75 pF in model</t>
        </is>
      </c>
      <c r="G48" s="6" t="inlineStr">
        <is>
          <t>S5</t>
        </is>
      </c>
      <c r="H48" s="6">
        <f>IFERROR(INDEX(Sources!$B:$B,MATCH(G48,Sources!$A:$A,0)),"")</f>
        <v/>
      </c>
      <c r="I48" s="6" t="inlineStr">
        <is>
          <t>Table I / text</t>
        </is>
      </c>
      <c r="J48" s="7" t="inlineStr">
        <is>
          <t>In model v0.3</t>
        </is>
      </c>
      <c r="K48" s="6" t="inlineStr">
        <is>
          <t>Cross-check for C_BE</t>
        </is>
      </c>
      <c r="L48" s="6" t="inlineStr"/>
    </row>
    <row r="49">
      <c r="A49" s="6" t="inlineStr">
        <is>
          <t>V045</t>
        </is>
      </c>
      <c r="B49" s="6" t="inlineStr">
        <is>
          <t>Body</t>
        </is>
      </c>
      <c r="C49" s="6" t="inlineStr">
        <is>
          <t>Tissue resistance</t>
        </is>
      </c>
      <c r="D49" s="6" t="inlineStr">
        <is>
          <t>200 (100–400)</t>
        </is>
      </c>
      <c r="E49" s="6" t="inlineStr">
        <is>
          <t>Ω</t>
        </is>
      </c>
      <c r="F49" s="6" t="inlineStr">
        <is>
          <t>Subcutaneous</t>
        </is>
      </c>
      <c r="G49" s="6" t="inlineStr">
        <is>
          <t>S5</t>
        </is>
      </c>
      <c r="H49" s="6">
        <f>IFERROR(INDEX(Sources!$B:$B,MATCH(G49,Sources!$A:$A,0)),"")</f>
        <v/>
      </c>
      <c r="I49" s="6" t="inlineStr">
        <is>
          <t>Table I</t>
        </is>
      </c>
      <c r="J49" s="7" t="inlineStr">
        <is>
          <t>In model v0.3</t>
        </is>
      </c>
      <c r="K49" s="6" t="inlineStr">
        <is>
          <t>Limb 100–400 Ω</t>
        </is>
      </c>
      <c r="L49" s="6" t="inlineStr"/>
    </row>
    <row r="50">
      <c r="A50" s="6" t="inlineStr">
        <is>
          <t>V046</t>
        </is>
      </c>
      <c r="B50" s="6" t="inlineStr">
        <is>
          <t>Skin</t>
        </is>
      </c>
      <c r="C50" s="6" t="inlineStr">
        <is>
          <t>Skin resistance</t>
        </is>
      </c>
      <c r="D50" s="6" t="inlineStr">
        <is>
          <t>10 k (1 k–100 k)</t>
        </is>
      </c>
      <c r="E50" s="6" t="inlineStr">
        <is>
          <t>Ω</t>
        </is>
      </c>
      <c r="F50" s="6" t="inlineStr">
        <is>
          <t>4 cm²; depends on moisture</t>
        </is>
      </c>
      <c r="G50" s="6" t="inlineStr">
        <is>
          <t>S5</t>
        </is>
      </c>
      <c r="H50" s="6">
        <f>IFERROR(INDEX(Sources!$B:$B,MATCH(G50,Sources!$A:$A,0)),"")</f>
        <v/>
      </c>
      <c r="I50" s="6" t="inlineStr">
        <is>
          <t>Table I</t>
        </is>
      </c>
      <c r="J50" s="9" t="inlineStr">
        <is>
          <t>Context only</t>
        </is>
      </c>
      <c r="K50" s="6" t="inlineStr">
        <is>
          <t>Superseded by S6/S10 per-area values</t>
        </is>
      </c>
      <c r="L50" s="6" t="inlineStr"/>
    </row>
    <row r="51">
      <c r="A51" s="6" t="inlineStr">
        <is>
          <t>V047</t>
        </is>
      </c>
      <c r="B51" s="6" t="inlineStr">
        <is>
          <t>Skin</t>
        </is>
      </c>
      <c r="C51" s="6" t="inlineStr">
        <is>
          <t>Skin capacitance</t>
        </is>
      </c>
      <c r="D51" s="8" t="n">
        <v>90</v>
      </c>
      <c r="E51" s="6" t="inlineStr">
        <is>
          <t>pF</t>
        </is>
      </c>
      <c r="F51" s="6" t="inlineStr">
        <is>
          <t>4 cm², 4 mm, εr ~100</t>
        </is>
      </c>
      <c r="G51" s="6" t="inlineStr">
        <is>
          <t>S5</t>
        </is>
      </c>
      <c r="H51" s="6">
        <f>IFERROR(INDEX(Sources!$B:$B,MATCH(G51,Sources!$A:$A,0)),"")</f>
        <v/>
      </c>
      <c r="I51" s="6" t="inlineStr">
        <is>
          <t>Table I</t>
        </is>
      </c>
      <c r="J51" s="9" t="inlineStr">
        <is>
          <t>Context only</t>
        </is>
      </c>
      <c r="K51" s="6" t="inlineStr"/>
      <c r="L51" s="6" t="inlineStr"/>
    </row>
    <row r="52">
      <c r="A52" s="6" t="inlineStr">
        <is>
          <t>V048</t>
        </is>
      </c>
      <c r="B52" s="6" t="inlineStr">
        <is>
          <t>Device</t>
        </is>
      </c>
      <c r="C52" s="6" t="inlineStr">
        <is>
          <t>Band-to-skin capacitance</t>
        </is>
      </c>
      <c r="D52" s="6" t="inlineStr">
        <is>
          <t>200 (354 calc.)</t>
        </is>
      </c>
      <c r="E52" s="6" t="inlineStr">
        <is>
          <t>pF</t>
        </is>
      </c>
      <c r="F52" s="6" t="inlineStr">
        <is>
          <t>4 cm² electrode, 0.01 mm</t>
        </is>
      </c>
      <c r="G52" s="6" t="inlineStr">
        <is>
          <t>S5</t>
        </is>
      </c>
      <c r="H52" s="6">
        <f>IFERROR(INDEX(Sources!$B:$B,MATCH(G52,Sources!$A:$A,0)),"")</f>
        <v/>
      </c>
      <c r="I52" s="6" t="inlineStr">
        <is>
          <t>Table I</t>
        </is>
      </c>
      <c r="J52" s="9" t="inlineStr">
        <is>
          <t>Context only</t>
        </is>
      </c>
      <c r="K52" s="6" t="inlineStr"/>
      <c r="L52" s="6" t="inlineStr"/>
    </row>
    <row r="53">
      <c r="A53" s="6" t="inlineStr">
        <is>
          <t>V049</t>
        </is>
      </c>
      <c r="B53" s="6" t="inlineStr">
        <is>
          <t>Body</t>
        </is>
      </c>
      <c r="C53" s="6" t="inlineStr">
        <is>
          <t>Feet-to-ground capacitance</t>
        </is>
      </c>
      <c r="D53" s="8" t="n">
        <v>9</v>
      </c>
      <c r="E53" s="6" t="inlineStr">
        <is>
          <t>pF</t>
        </is>
      </c>
      <c r="F53" s="6" t="inlineStr">
        <is>
          <t>100 cm² feet at 1 cm</t>
        </is>
      </c>
      <c r="G53" s="6" t="inlineStr">
        <is>
          <t>S5</t>
        </is>
      </c>
      <c r="H53" s="6">
        <f>IFERROR(INDEX(Sources!$B:$B,MATCH(G53,Sources!$A:$A,0)),"")</f>
        <v/>
      </c>
      <c r="I53" s="6" t="inlineStr">
        <is>
          <t>Table I</t>
        </is>
      </c>
      <c r="J53" s="9" t="inlineStr">
        <is>
          <t>Context only</t>
        </is>
      </c>
      <c r="K53" s="6" t="inlineStr"/>
      <c r="L53" s="6" t="inlineStr"/>
    </row>
    <row r="54">
      <c r="A54" s="6" t="inlineStr">
        <is>
          <t>V050</t>
        </is>
      </c>
      <c r="B54" s="6" t="inlineStr">
        <is>
          <t>Device</t>
        </is>
      </c>
      <c r="C54" s="6" t="inlineStr">
        <is>
          <t>Device ground plane to body</t>
        </is>
      </c>
      <c r="D54" s="8" t="n">
        <v>0.3</v>
      </c>
      <c r="E54" s="6" t="inlineStr">
        <is>
          <t>pF</t>
        </is>
      </c>
      <c r="F54" s="6" t="inlineStr">
        <is>
          <t>4 cm² ground plane at 1 cm (354 fF calc.)</t>
        </is>
      </c>
      <c r="G54" s="6" t="inlineStr">
        <is>
          <t>S5</t>
        </is>
      </c>
      <c r="H54" s="6">
        <f>IFERROR(INDEX(Sources!$B:$B,MATCH(G54,Sources!$A:$A,0)),"")</f>
        <v/>
      </c>
      <c r="I54" s="6" t="inlineStr">
        <is>
          <t>Table I</t>
        </is>
      </c>
      <c r="J54" s="9" t="inlineStr">
        <is>
          <t>Context only</t>
        </is>
      </c>
      <c r="K54" s="6" t="inlineStr">
        <is>
          <t>Watch uses own geometry (closer, larger)</t>
        </is>
      </c>
      <c r="L54" s="6" t="inlineStr"/>
    </row>
    <row r="55">
      <c r="A55" s="6" t="inlineStr">
        <is>
          <t>V051</t>
        </is>
      </c>
      <c r="B55" s="6" t="inlineStr">
        <is>
          <t>Device</t>
        </is>
      </c>
      <c r="C55" s="6" t="inlineStr">
        <is>
          <t>Return-path capacitance of a wearable</t>
        </is>
      </c>
      <c r="D55" s="8" t="n">
        <v>1.5</v>
      </c>
      <c r="E55" s="6" t="inlineStr">
        <is>
          <t>pF</t>
        </is>
      </c>
      <c r="F55" s="6" t="inlineStr">
        <is>
          <t>Experimentally estimated</t>
        </is>
      </c>
      <c r="G55" s="6" t="inlineStr">
        <is>
          <t>S5</t>
        </is>
      </c>
      <c r="H55" s="6">
        <f>IFERROR(INDEX(Sources!$B:$B,MATCH(G55,Sources!$A:$A,0)),"")</f>
        <v/>
      </c>
      <c r="I55" s="6" t="inlineStr">
        <is>
          <t>Table I / text</t>
        </is>
      </c>
      <c r="J55" s="7" t="inlineStr">
        <is>
          <t>In model v0.3</t>
        </is>
      </c>
      <c r="K55" s="6" t="inlineStr">
        <is>
          <t>1.0–2.0 pF single; 1.5–3.0 pF dual</t>
        </is>
      </c>
      <c r="L55" s="6" t="inlineStr">
        <is>
          <t>S11 suggests lower at the wrist</t>
        </is>
      </c>
    </row>
    <row r="56">
      <c r="A56" s="6" t="inlineStr">
        <is>
          <t>V052</t>
        </is>
      </c>
      <c r="B56" s="6" t="inlineStr">
        <is>
          <t>Device</t>
        </is>
      </c>
      <c r="C56" s="6" t="inlineStr">
        <is>
          <t>Wearable input load capacitance</t>
        </is>
      </c>
      <c r="D56" s="8" t="n">
        <v>1</v>
      </c>
      <c r="E56" s="6" t="inlineStr">
        <is>
          <t>pF</t>
        </is>
      </c>
      <c r="F56" s="6" t="inlineStr">
        <is>
          <t>10 MΩ</t>
        </is>
      </c>
      <c r="G56" s="6" t="inlineStr">
        <is>
          <t>S5</t>
        </is>
      </c>
      <c r="H56" s="6">
        <f>IFERROR(INDEX(Sources!$B:$B,MATCH(G56,Sources!$A:$A,0)),"")</f>
        <v/>
      </c>
      <c r="I56" s="6" t="inlineStr">
        <is>
          <t>Table I</t>
        </is>
      </c>
      <c r="J56" s="9" t="inlineStr">
        <is>
          <t>Context only</t>
        </is>
      </c>
      <c r="K56" s="6" t="inlineStr"/>
      <c r="L56" s="6" t="inlineStr"/>
    </row>
    <row r="57">
      <c r="A57" s="6" t="inlineStr">
        <is>
          <t>V053</t>
        </is>
      </c>
      <c r="B57" s="6" t="inlineStr">
        <is>
          <t>Measurement</t>
        </is>
      </c>
      <c r="C57" s="6" t="inlineStr">
        <is>
          <t>Channel loss, wearable prototype</t>
        </is>
      </c>
      <c r="D57" s="6" t="inlineStr">
        <is>
          <t>−49 to −52</t>
        </is>
      </c>
      <c r="E57" s="6" t="inlineStr">
        <is>
          <t>dB</t>
        </is>
      </c>
      <c r="F57" s="6" t="inlineStr">
        <is>
          <t>Forearm Tx to wrist Rx, 20–25 cm</t>
        </is>
      </c>
      <c r="G57" s="6" t="inlineStr">
        <is>
          <t>S5</t>
        </is>
      </c>
      <c r="H57" s="6">
        <f>IFERROR(INDEX(Sources!$B:$B,MATCH(G57,Sources!$A:$A,0)),"")</f>
        <v/>
      </c>
      <c r="I57" s="6" t="inlineStr">
        <is>
          <t>Results</t>
        </is>
      </c>
      <c r="J57" s="9" t="inlineStr">
        <is>
          <t>Context only</t>
        </is>
      </c>
      <c r="K57" s="6" t="inlineStr"/>
      <c r="L57" s="6" t="inlineStr"/>
    </row>
    <row r="58">
      <c r="A58" s="6" t="inlineStr">
        <is>
          <t>V054</t>
        </is>
      </c>
      <c r="B58" s="6" t="inlineStr">
        <is>
          <t>Skin</t>
        </is>
      </c>
      <c r="C58" s="6" t="inlineStr">
        <is>
          <t>Stratum corneum DC conductance</t>
        </is>
      </c>
      <c r="D58" s="8" t="n">
        <v>4.4</v>
      </c>
      <c r="E58" s="6" t="inlineStr">
        <is>
          <t>µS/cm²</t>
        </is>
      </c>
      <c r="F58" s="6" t="inlineStr">
        <is>
          <t>In situ, palm, hydrogel electrodes</t>
        </is>
      </c>
      <c r="G58" s="6" t="inlineStr">
        <is>
          <t>S6</t>
        </is>
      </c>
      <c r="H58" s="6">
        <f>IFERROR(INDEX(Sources!$B:$B,MATCH(G58,Sources!$A:$A,0)),"")</f>
        <v/>
      </c>
      <c r="I58" s="6" t="inlineStr">
        <is>
          <t>Fig. 1 circuit</t>
        </is>
      </c>
      <c r="J58" s="7" t="inlineStr">
        <is>
          <t>In model v0.3</t>
        </is>
      </c>
      <c r="K58" s="6" t="inlineStr">
        <is>
          <t>G_DC per cm²</t>
        </is>
      </c>
      <c r="L58" s="6" t="inlineStr"/>
    </row>
    <row r="59">
      <c r="A59" s="6" t="inlineStr">
        <is>
          <t>V055</t>
        </is>
      </c>
      <c r="B59" s="6" t="inlineStr">
        <is>
          <t>Skin</t>
        </is>
      </c>
      <c r="C59" s="6" t="inlineStr">
        <is>
          <t>Polarisation conductance G0</t>
        </is>
      </c>
      <c r="D59" s="8" t="n">
        <v>100</v>
      </c>
      <c r="E59" s="6" t="inlineStr">
        <is>
          <t>nS/cm²</t>
        </is>
      </c>
      <c r="F59" s="6" t="inlineStr">
        <is>
          <t>G = G0·f^m</t>
        </is>
      </c>
      <c r="G59" s="6" t="inlineStr">
        <is>
          <t>S6</t>
        </is>
      </c>
      <c r="H59" s="6">
        <f>IFERROR(INDEX(Sources!$B:$B,MATCH(G59,Sources!$A:$A,0)),"")</f>
        <v/>
      </c>
      <c r="I59" s="6" t="inlineStr">
        <is>
          <t>Fig. 1 circuit</t>
        </is>
      </c>
      <c r="J59" s="7" t="inlineStr">
        <is>
          <t>In model v0.3</t>
        </is>
      </c>
      <c r="K59" s="6" t="inlineStr"/>
      <c r="L59" s="6" t="inlineStr"/>
    </row>
    <row r="60">
      <c r="A60" s="6" t="inlineStr">
        <is>
          <t>V056</t>
        </is>
      </c>
      <c r="B60" s="6" t="inlineStr">
        <is>
          <t>Skin</t>
        </is>
      </c>
      <c r="C60" s="6" t="inlineStr">
        <is>
          <t>Polarisation capacitance C0</t>
        </is>
      </c>
      <c r="D60" s="8" t="n">
        <v>50</v>
      </c>
      <c r="E60" s="6" t="inlineStr">
        <is>
          <t>nF/cm²</t>
        </is>
      </c>
      <c r="F60" s="6" t="inlineStr">
        <is>
          <t>C = C0·f^(m−1)</t>
        </is>
      </c>
      <c r="G60" s="6" t="inlineStr">
        <is>
          <t>S6</t>
        </is>
      </c>
      <c r="H60" s="6">
        <f>IFERROR(INDEX(Sources!$B:$B,MATCH(G60,Sources!$A:$A,0)),"")</f>
        <v/>
      </c>
      <c r="I60" s="6" t="inlineStr">
        <is>
          <t>Fig. 1 circuit</t>
        </is>
      </c>
      <c r="J60" s="7" t="inlineStr">
        <is>
          <t>In model v0.3</t>
        </is>
      </c>
      <c r="K60" s="6" t="inlineStr"/>
      <c r="L60" s="6" t="inlineStr"/>
    </row>
    <row r="61">
      <c r="A61" s="6" t="inlineStr">
        <is>
          <t>V057</t>
        </is>
      </c>
      <c r="B61" s="6" t="inlineStr">
        <is>
          <t>Skin</t>
        </is>
      </c>
      <c r="C61" s="6" t="inlineStr">
        <is>
          <t>CPE exponent m</t>
        </is>
      </c>
      <c r="D61" s="8" t="n">
        <v>0.8</v>
      </c>
      <c r="E61" s="6" t="inlineStr">
        <is>
          <t>-</t>
        </is>
      </c>
      <c r="F61" s="6" t="inlineStr">
        <is>
          <t>Phase angle ≈ 72°</t>
        </is>
      </c>
      <c r="G61" s="6" t="inlineStr">
        <is>
          <t>S6</t>
        </is>
      </c>
      <c r="H61" s="6">
        <f>IFERROR(INDEX(Sources!$B:$B,MATCH(G61,Sources!$A:$A,0)),"")</f>
        <v/>
      </c>
      <c r="I61" s="6" t="inlineStr">
        <is>
          <t>Text</t>
        </is>
      </c>
      <c r="J61" s="7" t="inlineStr">
        <is>
          <t>In model v0.3</t>
        </is>
      </c>
      <c r="K61" s="6" t="inlineStr">
        <is>
          <t>0.75–0.85</t>
        </is>
      </c>
      <c r="L61" s="6" t="inlineStr"/>
    </row>
    <row r="62">
      <c r="A62" s="6" t="inlineStr">
        <is>
          <t>V058</t>
        </is>
      </c>
      <c r="B62" s="6" t="inlineStr">
        <is>
          <t>Skin</t>
        </is>
      </c>
      <c r="C62" s="6" t="inlineStr">
        <is>
          <t>R∞</t>
        </is>
      </c>
      <c r="D62" s="6" t="inlineStr">
        <is>
          <t>&lt; 1</t>
        </is>
      </c>
      <c r="E62" s="6" t="inlineStr">
        <is>
          <t>kΩ</t>
        </is>
      </c>
      <c r="F62" s="6" t="inlineStr"/>
      <c r="G62" s="6" t="inlineStr">
        <is>
          <t>S6</t>
        </is>
      </c>
      <c r="H62" s="6">
        <f>IFERROR(INDEX(Sources!$B:$B,MATCH(G62,Sources!$A:$A,0)),"")</f>
        <v/>
      </c>
      <c r="I62" s="6" t="inlineStr">
        <is>
          <t>Text</t>
        </is>
      </c>
      <c r="J62" s="9" t="inlineStr">
        <is>
          <t>Context only</t>
        </is>
      </c>
      <c r="K62" s="6" t="inlineStr"/>
      <c r="L62" s="6" t="inlineStr"/>
    </row>
    <row r="63">
      <c r="A63" s="6" t="inlineStr">
        <is>
          <t>V059</t>
        </is>
      </c>
      <c r="B63" s="6" t="inlineStr">
        <is>
          <t>Clothing</t>
        </is>
      </c>
      <c r="C63" s="6" t="inlineStr">
        <is>
          <t>Cotton</t>
        </is>
      </c>
      <c r="D63" s="6" t="inlineStr">
        <is>
          <t>εr 3.004; 0.23 mm; Cs 58.96 pF</t>
        </is>
      </c>
      <c r="E63" s="6" t="inlineStr">
        <is>
          <t>-</t>
        </is>
      </c>
      <c r="F63" s="6" t="inlineStr">
        <is>
          <t>1 kHz; electrode 510 mm²</t>
        </is>
      </c>
      <c r="G63" s="6" t="inlineStr">
        <is>
          <t>S7</t>
        </is>
      </c>
      <c r="H63" s="6">
        <f>IFERROR(INDEX(Sources!$B:$B,MATCH(G63,Sources!$A:$A,0)),"")</f>
        <v/>
      </c>
      <c r="I63" s="6" t="inlineStr">
        <is>
          <t>Table</t>
        </is>
      </c>
      <c r="J63" s="7" t="inlineStr">
        <is>
          <t>In model v0.3</t>
        </is>
      </c>
      <c r="K63" s="6" t="inlineStr">
        <is>
          <t>εr 1.2–5.1; 0.16–0.58 mm</t>
        </is>
      </c>
      <c r="L63" s="6" t="inlineStr"/>
    </row>
    <row r="64">
      <c r="A64" s="6" t="inlineStr">
        <is>
          <t>V060</t>
        </is>
      </c>
      <c r="B64" s="6" t="inlineStr">
        <is>
          <t>Clothing</t>
        </is>
      </c>
      <c r="C64" s="6" t="inlineStr">
        <is>
          <t>Linen</t>
        </is>
      </c>
      <c r="D64" s="6" t="inlineStr">
        <is>
          <t>εr 4.007; 0.40 mm; Cs 45.22 pF</t>
        </is>
      </c>
      <c r="E64" s="6" t="inlineStr">
        <is>
          <t>-</t>
        </is>
      </c>
      <c r="F64" s="6" t="inlineStr">
        <is>
          <t>1 kHz; 510 mm²</t>
        </is>
      </c>
      <c r="G64" s="6" t="inlineStr">
        <is>
          <t>S7</t>
        </is>
      </c>
      <c r="H64" s="6">
        <f>IFERROR(INDEX(Sources!$B:$B,MATCH(G64,Sources!$A:$A,0)),"")</f>
        <v/>
      </c>
      <c r="I64" s="6" t="inlineStr">
        <is>
          <t>Table</t>
        </is>
      </c>
      <c r="J64" s="7" t="inlineStr">
        <is>
          <t>In model v0.3</t>
        </is>
      </c>
      <c r="K64" s="6" t="inlineStr"/>
      <c r="L64" s="6" t="inlineStr"/>
    </row>
    <row r="65">
      <c r="A65" s="6" t="inlineStr">
        <is>
          <t>V061</t>
        </is>
      </c>
      <c r="B65" s="6" t="inlineStr">
        <is>
          <t>Clothing</t>
        </is>
      </c>
      <c r="C65" s="6" t="inlineStr">
        <is>
          <t>Rayon</t>
        </is>
      </c>
      <c r="D65" s="6" t="inlineStr">
        <is>
          <t>εr 5.082; 0.58 mm; Cs 39.56 pF</t>
        </is>
      </c>
      <c r="E65" s="6" t="inlineStr">
        <is>
          <t>-</t>
        </is>
      </c>
      <c r="F65" s="6" t="inlineStr">
        <is>
          <t>1 kHz; 510 mm²</t>
        </is>
      </c>
      <c r="G65" s="6" t="inlineStr">
        <is>
          <t>S7</t>
        </is>
      </c>
      <c r="H65" s="6">
        <f>IFERROR(INDEX(Sources!$B:$B,MATCH(G65,Sources!$A:$A,0)),"")</f>
        <v/>
      </c>
      <c r="I65" s="6" t="inlineStr">
        <is>
          <t>Table</t>
        </is>
      </c>
      <c r="J65" s="7" t="inlineStr">
        <is>
          <t>In model v0.3</t>
        </is>
      </c>
      <c r="K65" s="6" t="inlineStr"/>
      <c r="L65" s="6" t="inlineStr"/>
    </row>
    <row r="66">
      <c r="A66" s="6" t="inlineStr">
        <is>
          <t>V062</t>
        </is>
      </c>
      <c r="B66" s="6" t="inlineStr">
        <is>
          <t>Clothing</t>
        </is>
      </c>
      <c r="C66" s="6" t="inlineStr">
        <is>
          <t>Nylon</t>
        </is>
      </c>
      <c r="D66" s="6" t="inlineStr">
        <is>
          <t>εr 1.222; 0.48 mm; Cs 11.49 pF</t>
        </is>
      </c>
      <c r="E66" s="6" t="inlineStr">
        <is>
          <t>-</t>
        </is>
      </c>
      <c r="F66" s="6" t="inlineStr">
        <is>
          <t>1 kHz; 510 mm²</t>
        </is>
      </c>
      <c r="G66" s="6" t="inlineStr">
        <is>
          <t>S7</t>
        </is>
      </c>
      <c r="H66" s="6">
        <f>IFERROR(INDEX(Sources!$B:$B,MATCH(G66,Sources!$A:$A,0)),"")</f>
        <v/>
      </c>
      <c r="I66" s="6" t="inlineStr">
        <is>
          <t>Table</t>
        </is>
      </c>
      <c r="J66" s="7" t="inlineStr">
        <is>
          <t>In model v0.3</t>
        </is>
      </c>
      <c r="K66" s="6" t="inlineStr"/>
      <c r="L66" s="6" t="inlineStr"/>
    </row>
    <row r="67">
      <c r="A67" s="6" t="inlineStr">
        <is>
          <t>V063</t>
        </is>
      </c>
      <c r="B67" s="6" t="inlineStr">
        <is>
          <t>Clothing</t>
        </is>
      </c>
      <c r="C67" s="6" t="inlineStr">
        <is>
          <t>Polyester</t>
        </is>
      </c>
      <c r="D67" s="6" t="inlineStr">
        <is>
          <t>εr 1.178; 0.16 mm; Cs 33.24 pF</t>
        </is>
      </c>
      <c r="E67" s="6" t="inlineStr">
        <is>
          <t>-</t>
        </is>
      </c>
      <c r="F67" s="6" t="inlineStr">
        <is>
          <t>1 kHz; 510 mm²</t>
        </is>
      </c>
      <c r="G67" s="6" t="inlineStr">
        <is>
          <t>S7</t>
        </is>
      </c>
      <c r="H67" s="6">
        <f>IFERROR(INDEX(Sources!$B:$B,MATCH(G67,Sources!$A:$A,0)),"")</f>
        <v/>
      </c>
      <c r="I67" s="6" t="inlineStr">
        <is>
          <t>Table</t>
        </is>
      </c>
      <c r="J67" s="7" t="inlineStr">
        <is>
          <t>In model v0.3</t>
        </is>
      </c>
      <c r="K67" s="6" t="inlineStr"/>
      <c r="L67" s="6" t="inlineStr"/>
    </row>
    <row r="68">
      <c r="A68" s="6" t="inlineStr">
        <is>
          <t>V064</t>
        </is>
      </c>
      <c r="B68" s="6" t="inlineStr">
        <is>
          <t>Clothing</t>
        </is>
      </c>
      <c r="C68" s="6" t="inlineStr">
        <is>
          <t>PVC-textile</t>
        </is>
      </c>
      <c r="D68" s="6" t="inlineStr">
        <is>
          <t>εr 3.118; 0.24 mm; Cs 58.65 pF</t>
        </is>
      </c>
      <c r="E68" s="6" t="inlineStr">
        <is>
          <t>-</t>
        </is>
      </c>
      <c r="F68" s="6" t="inlineStr">
        <is>
          <t>1 kHz; 510 mm²</t>
        </is>
      </c>
      <c r="G68" s="6" t="inlineStr">
        <is>
          <t>S7</t>
        </is>
      </c>
      <c r="H68" s="6">
        <f>IFERROR(INDEX(Sources!$B:$B,MATCH(G68,Sources!$A:$A,0)),"")</f>
        <v/>
      </c>
      <c r="I68" s="6" t="inlineStr">
        <is>
          <t>Table</t>
        </is>
      </c>
      <c r="J68" s="9" t="inlineStr">
        <is>
          <t>Context only</t>
        </is>
      </c>
      <c r="K68" s="6" t="inlineStr"/>
      <c r="L68" s="6" t="inlineStr"/>
    </row>
    <row r="69">
      <c r="A69" s="6" t="inlineStr">
        <is>
          <t>V065</t>
        </is>
      </c>
      <c r="B69" s="6" t="inlineStr">
        <is>
          <t>Circuit</t>
        </is>
      </c>
      <c r="C69" s="6" t="inlineStr">
        <is>
          <t>Buffer input capacitance</t>
        </is>
      </c>
      <c r="D69" s="8" t="n">
        <v>2.1</v>
      </c>
      <c r="E69" s="6" t="inlineStr">
        <is>
          <t>pF</t>
        </is>
      </c>
      <c r="F69" s="6" t="inlineStr">
        <is>
          <t>1 MΩ input</t>
        </is>
      </c>
      <c r="G69" s="6" t="inlineStr">
        <is>
          <t>S8</t>
        </is>
      </c>
      <c r="H69" s="6">
        <f>IFERROR(INDEX(Sources!$B:$B,MATCH(G69,Sources!$A:$A,0)),"")</f>
        <v/>
      </c>
      <c r="I69" s="6" t="inlineStr">
        <is>
          <t>Setup</t>
        </is>
      </c>
      <c r="J69" s="7" t="inlineStr">
        <is>
          <t>In model v0.3</t>
        </is>
      </c>
      <c r="K69" s="6" t="inlineStr">
        <is>
          <t>Sense-node parasitics 2–7 pF</t>
        </is>
      </c>
      <c r="L69" s="6" t="inlineStr"/>
    </row>
    <row r="70">
      <c r="A70" s="6" t="inlineStr">
        <is>
          <t>V066</t>
        </is>
      </c>
      <c r="B70" s="6" t="inlineStr">
        <is>
          <t>Device</t>
        </is>
      </c>
      <c r="C70" s="6" t="inlineStr">
        <is>
          <t>Return path vs device size</t>
        </is>
      </c>
      <c r="D70" s="6" t="inlineStr">
        <is>
          <t>Proportional to ground-plane size (≈ self-capacitance)</t>
        </is>
      </c>
      <c r="E70" s="6" t="inlineStr">
        <is>
          <t>-</t>
        </is>
      </c>
      <c r="F70" s="6" t="inlineStr"/>
      <c r="G70" s="6" t="inlineStr">
        <is>
          <t>S8</t>
        </is>
      </c>
      <c r="H70" s="6">
        <f>IFERROR(INDEX(Sources!$B:$B,MATCH(G70,Sources!$A:$A,0)),"")</f>
        <v/>
      </c>
      <c r="I70" s="6" t="inlineStr">
        <is>
          <t>Text</t>
        </is>
      </c>
      <c r="J70" s="7" t="inlineStr">
        <is>
          <t>In model v0.3</t>
        </is>
      </c>
      <c r="K70" s="6" t="inlineStr">
        <is>
          <t>Self-capacitance check 8·ε₀·r</t>
        </is>
      </c>
      <c r="L70" s="6" t="inlineStr"/>
    </row>
    <row r="71">
      <c r="A71" s="6" t="inlineStr">
        <is>
          <t>V067</t>
        </is>
      </c>
      <c r="B71" s="6" t="inlineStr">
        <is>
          <t>Body</t>
        </is>
      </c>
      <c r="C71" s="6" t="inlineStr">
        <is>
          <t>Typical body capacitance</t>
        </is>
      </c>
      <c r="D71" s="6" t="inlineStr">
        <is>
          <t>~100</t>
        </is>
      </c>
      <c r="E71" s="6" t="inlineStr">
        <is>
          <t>pF</t>
        </is>
      </c>
      <c r="F71" s="6" t="inlineStr">
        <is>
          <t>Several cited studies</t>
        </is>
      </c>
      <c r="G71" s="6" t="inlineStr">
        <is>
          <t>S9</t>
        </is>
      </c>
      <c r="H71" s="6">
        <f>IFERROR(INDEX(Sources!$B:$B,MATCH(G71,Sources!$A:$A,0)),"")</f>
        <v/>
      </c>
      <c r="I71" s="6" t="inlineStr">
        <is>
          <t>Section 3.2</t>
        </is>
      </c>
      <c r="J71" s="9" t="inlineStr">
        <is>
          <t>Context only</t>
        </is>
      </c>
      <c r="K71" s="6" t="inlineStr"/>
      <c r="L71" s="6" t="inlineStr"/>
    </row>
    <row r="72">
      <c r="A72" s="6" t="inlineStr">
        <is>
          <t>V068</t>
        </is>
      </c>
      <c r="B72" s="6" t="inlineStr">
        <is>
          <t>Drift</t>
        </is>
      </c>
      <c r="C72" s="6" t="inlineStr">
        <is>
          <t>Main source of body-capacitance variation</t>
        </is>
      </c>
      <c r="D72" s="6" t="inlineStr">
        <is>
          <t>Feet actions</t>
        </is>
      </c>
      <c r="E72" s="6" t="inlineStr">
        <is>
          <t>-</t>
        </is>
      </c>
      <c r="F72" s="6" t="inlineStr">
        <is>
          <t>Qualitative</t>
        </is>
      </c>
      <c r="G72" s="6" t="inlineStr">
        <is>
          <t>S9</t>
        </is>
      </c>
      <c r="H72" s="6">
        <f>IFERROR(INDEX(Sources!$B:$B,MATCH(G72,Sources!$A:$A,0)),"")</f>
        <v/>
      </c>
      <c r="I72" s="6" t="inlineStr">
        <is>
          <t>Section 3.2.1</t>
        </is>
      </c>
      <c r="J72" s="7" t="inlineStr">
        <is>
          <t>In model v0.3</t>
        </is>
      </c>
      <c r="K72" s="6" t="inlineStr">
        <is>
          <t>Walking drift on C_BE</t>
        </is>
      </c>
      <c r="L72" s="6" t="inlineStr"/>
    </row>
    <row r="73">
      <c r="A73" s="6" t="inlineStr">
        <is>
          <t>V069</t>
        </is>
      </c>
      <c r="B73" s="6" t="inlineStr">
        <is>
          <t>Skin</t>
        </is>
      </c>
      <c r="C73" s="6" t="inlineStr">
        <is>
          <t>|Z| at 10 Hz, stainless steel, in vivo</t>
        </is>
      </c>
      <c r="D73" s="8" t="n">
        <v>2.68</v>
      </c>
      <c r="E73" s="6" t="inlineStr">
        <is>
          <t>MΩ·cm²</t>
        </is>
      </c>
      <c r="F73" s="6" t="inlineStr">
        <is>
          <t>Thigh, 10 people, dry electrode</t>
        </is>
      </c>
      <c r="G73" s="6" t="inlineStr">
        <is>
          <t>S10</t>
        </is>
      </c>
      <c r="H73" s="6">
        <f>IFERROR(INDEX(Sources!$B:$B,MATCH(G73,Sources!$A:$A,0)),"")</f>
        <v/>
      </c>
      <c r="I73" s="6" t="inlineStr">
        <is>
          <t>Results</t>
        </is>
      </c>
      <c r="J73" s="7" t="inlineStr">
        <is>
          <t>In model v0.3</t>
        </is>
      </c>
      <c r="K73" s="6" t="inlineStr">
        <is>
          <t>Confirms phantom fit values used</t>
        </is>
      </c>
      <c r="L73" s="6" t="inlineStr">
        <is>
          <t>Matches watch back plate</t>
        </is>
      </c>
    </row>
    <row r="74">
      <c r="A74" s="6" t="inlineStr">
        <is>
          <t>V070</t>
        </is>
      </c>
      <c r="B74" s="6" t="inlineStr">
        <is>
          <t>Skin</t>
        </is>
      </c>
      <c r="C74" s="6" t="inlineStr">
        <is>
          <t>|Z| at 10 Hz, titanium, in vivo</t>
        </is>
      </c>
      <c r="D74" s="8" t="n">
        <v>2.06</v>
      </c>
      <c r="E74" s="6" t="inlineStr">
        <is>
          <t>MΩ·cm²</t>
        </is>
      </c>
      <c r="F74" s="6" t="inlineStr">
        <is>
          <t>Thigh, dry electrode</t>
        </is>
      </c>
      <c r="G74" s="6" t="inlineStr">
        <is>
          <t>S10</t>
        </is>
      </c>
      <c r="H74" s="6">
        <f>IFERROR(INDEX(Sources!$B:$B,MATCH(G74,Sources!$A:$A,0)),"")</f>
        <v/>
      </c>
      <c r="I74" s="6" t="inlineStr">
        <is>
          <t>Results</t>
        </is>
      </c>
      <c r="J74" s="9" t="inlineStr">
        <is>
          <t>Context only</t>
        </is>
      </c>
      <c r="K74" s="6" t="inlineStr"/>
      <c r="L74" s="6" t="inlineStr"/>
    </row>
    <row r="75">
      <c r="A75" s="6" t="inlineStr">
        <is>
          <t>V071</t>
        </is>
      </c>
      <c r="B75" s="6" t="inlineStr">
        <is>
          <t>Skin</t>
        </is>
      </c>
      <c r="C75" s="6" t="inlineStr">
        <is>
          <t>Stratum corneum resistance Rsc, dry</t>
        </is>
      </c>
      <c r="D75" s="8" t="n">
        <v>6.4</v>
      </c>
      <c r="E75" s="6" t="inlineStr">
        <is>
          <t>MΩ·cm²</t>
        </is>
      </c>
      <c r="F75" s="6" t="inlineStr">
        <is>
          <t>Phantom fit</t>
        </is>
      </c>
      <c r="G75" s="6" t="inlineStr">
        <is>
          <t>S10</t>
        </is>
      </c>
      <c r="H75" s="6">
        <f>IFERROR(INDEX(Sources!$B:$B,MATCH(G75,Sources!$A:$A,0)),"")</f>
        <v/>
      </c>
      <c r="I75" s="6" t="inlineStr">
        <is>
          <t>Table 2</t>
        </is>
      </c>
      <c r="J75" s="7" t="inlineStr">
        <is>
          <t>In model v0.3</t>
        </is>
      </c>
      <c r="K75" s="6" t="inlineStr">
        <is>
          <t>Rsc at hyd = 0</t>
        </is>
      </c>
      <c r="L75" s="6" t="inlineStr"/>
    </row>
    <row r="76">
      <c r="A76" s="6" t="inlineStr">
        <is>
          <t>V072</t>
        </is>
      </c>
      <c r="B76" s="6" t="inlineStr">
        <is>
          <t>Skin</t>
        </is>
      </c>
      <c r="C76" s="6" t="inlineStr">
        <is>
          <t>Stratum corneum resistance Rsc, hydrated</t>
        </is>
      </c>
      <c r="D76" s="8" t="n">
        <v>3</v>
      </c>
      <c r="E76" s="6" t="inlineStr">
        <is>
          <t>MΩ·cm²</t>
        </is>
      </c>
      <c r="F76" s="6" t="inlineStr">
        <is>
          <t>Phantom fit</t>
        </is>
      </c>
      <c r="G76" s="6" t="inlineStr">
        <is>
          <t>S10</t>
        </is>
      </c>
      <c r="H76" s="6">
        <f>IFERROR(INDEX(Sources!$B:$B,MATCH(G76,Sources!$A:$A,0)),"")</f>
        <v/>
      </c>
      <c r="I76" s="6" t="inlineStr">
        <is>
          <t>Table 2</t>
        </is>
      </c>
      <c r="J76" s="7" t="inlineStr">
        <is>
          <t>In model v0.3</t>
        </is>
      </c>
      <c r="K76" s="6" t="inlineStr">
        <is>
          <t>Rsc at hyd = 1</t>
        </is>
      </c>
      <c r="L76" s="6" t="inlineStr"/>
    </row>
    <row r="77">
      <c r="A77" s="6" t="inlineStr">
        <is>
          <t>V073</t>
        </is>
      </c>
      <c r="B77" s="6" t="inlineStr">
        <is>
          <t>Skin</t>
        </is>
      </c>
      <c r="C77" s="6" t="inlineStr">
        <is>
          <t>Stratum corneum capacitance Csc, dry</t>
        </is>
      </c>
      <c r="D77" s="8" t="n">
        <v>41</v>
      </c>
      <c r="E77" s="6" t="inlineStr">
        <is>
          <t>nF/cm²</t>
        </is>
      </c>
      <c r="F77" s="6" t="inlineStr">
        <is>
          <t>Phantom fit</t>
        </is>
      </c>
      <c r="G77" s="6" t="inlineStr">
        <is>
          <t>S10</t>
        </is>
      </c>
      <c r="H77" s="6">
        <f>IFERROR(INDEX(Sources!$B:$B,MATCH(G77,Sources!$A:$A,0)),"")</f>
        <v/>
      </c>
      <c r="I77" s="6" t="inlineStr">
        <is>
          <t>Table 2</t>
        </is>
      </c>
      <c r="J77" s="7" t="inlineStr">
        <is>
          <t>In model v0.3</t>
        </is>
      </c>
      <c r="K77" s="6" t="inlineStr">
        <is>
          <t>Csc at hyd = 0</t>
        </is>
      </c>
      <c r="L77" s="6" t="inlineStr"/>
    </row>
    <row r="78">
      <c r="A78" s="6" t="inlineStr">
        <is>
          <t>V074</t>
        </is>
      </c>
      <c r="B78" s="6" t="inlineStr">
        <is>
          <t>Skin</t>
        </is>
      </c>
      <c r="C78" s="6" t="inlineStr">
        <is>
          <t>Stratum corneum capacitance Csc, hydrated</t>
        </is>
      </c>
      <c r="D78" s="8" t="n">
        <v>190</v>
      </c>
      <c r="E78" s="6" t="inlineStr">
        <is>
          <t>nF/cm²</t>
        </is>
      </c>
      <c r="F78" s="6" t="inlineStr">
        <is>
          <t>Phantom fit</t>
        </is>
      </c>
      <c r="G78" s="6" t="inlineStr">
        <is>
          <t>S10</t>
        </is>
      </c>
      <c r="H78" s="6">
        <f>IFERROR(INDEX(Sources!$B:$B,MATCH(G78,Sources!$A:$A,0)),"")</f>
        <v/>
      </c>
      <c r="I78" s="6" t="inlineStr">
        <is>
          <t>Table 2</t>
        </is>
      </c>
      <c r="J78" s="7" t="inlineStr">
        <is>
          <t>In model v0.3</t>
        </is>
      </c>
      <c r="K78" s="6" t="inlineStr">
        <is>
          <t>Csc at hyd = 1</t>
        </is>
      </c>
      <c r="L78" s="6" t="inlineStr"/>
    </row>
    <row r="79">
      <c r="A79" s="6" t="inlineStr">
        <is>
          <t>V075</t>
        </is>
      </c>
      <c r="B79" s="6" t="inlineStr">
        <is>
          <t>Skin</t>
        </is>
      </c>
      <c r="C79" s="6" t="inlineStr">
        <is>
          <t>Contact capacitance Cc, titanium / steel (dry)</t>
        </is>
      </c>
      <c r="D79" s="6" t="inlineStr">
        <is>
          <t>267 / 114</t>
        </is>
      </c>
      <c r="E79" s="6" t="inlineStr">
        <is>
          <t>nF/cm²</t>
        </is>
      </c>
      <c r="F79" s="6" t="inlineStr">
        <is>
          <t>Phantom fit</t>
        </is>
      </c>
      <c r="G79" s="6" t="inlineStr">
        <is>
          <t>S10</t>
        </is>
      </c>
      <c r="H79" s="6">
        <f>IFERROR(INDEX(Sources!$B:$B,MATCH(G79,Sources!$A:$A,0)),"")</f>
        <v/>
      </c>
      <c r="I79" s="6" t="inlineStr">
        <is>
          <t>Table 2</t>
        </is>
      </c>
      <c r="J79" s="7" t="inlineStr">
        <is>
          <t>In model v0.3</t>
        </is>
      </c>
      <c r="K79" s="6" t="inlineStr">
        <is>
          <t>Steel 114 nF/cm²; Ti ratio for hydrated</t>
        </is>
      </c>
      <c r="L79" s="6" t="inlineStr">
        <is>
          <t>Titanium gives better contact</t>
        </is>
      </c>
    </row>
    <row r="80">
      <c r="A80" s="6" t="inlineStr">
        <is>
          <t>V076</t>
        </is>
      </c>
      <c r="B80" s="6" t="inlineStr">
        <is>
          <t>Skin</t>
        </is>
      </c>
      <c r="C80" s="6" t="inlineStr">
        <is>
          <t>CPE exponents</t>
        </is>
      </c>
      <c r="D80" s="6" t="inlineStr">
        <is>
          <t>α ≈ 0.9 (SC); β ≈ 0.5–0.6 (contact)</t>
        </is>
      </c>
      <c r="E80" s="6" t="inlineStr">
        <is>
          <t>-</t>
        </is>
      </c>
      <c r="F80" s="6" t="inlineStr"/>
      <c r="G80" s="6" t="inlineStr">
        <is>
          <t>S10</t>
        </is>
      </c>
      <c r="H80" s="6">
        <f>IFERROR(INDEX(Sources!$B:$B,MATCH(G80,Sources!$A:$A,0)),"")</f>
        <v/>
      </c>
      <c r="I80" s="6" t="inlineStr">
        <is>
          <t>Results</t>
        </is>
      </c>
      <c r="J80" s="7" t="inlineStr">
        <is>
          <t>In model v0.3</t>
        </is>
      </c>
      <c r="K80" s="6" t="inlineStr">
        <is>
          <t>α 0.88–0.92; β 0.5–0.6</t>
        </is>
      </c>
      <c r="L80" s="6" t="inlineStr"/>
    </row>
    <row r="81">
      <c r="A81" s="6" t="inlineStr">
        <is>
          <t>V077</t>
        </is>
      </c>
      <c r="B81" s="6" t="inlineStr">
        <is>
          <t>Skin</t>
        </is>
      </c>
      <c r="C81" s="6" t="inlineStr">
        <is>
          <t>Hydration effect on impedance</t>
        </is>
      </c>
      <c r="D81" s="6" t="inlineStr">
        <is>
          <t>~10× lower when hydrated</t>
        </is>
      </c>
      <c r="E81" s="6" t="inlineStr">
        <is>
          <t>-</t>
        </is>
      </c>
      <c r="F81" s="6" t="inlineStr"/>
      <c r="G81" s="6" t="inlineStr">
        <is>
          <t>S10</t>
        </is>
      </c>
      <c r="H81" s="6">
        <f>IFERROR(INDEX(Sources!$B:$B,MATCH(G81,Sources!$A:$A,0)),"")</f>
        <v/>
      </c>
      <c r="I81" s="6" t="inlineStr">
        <is>
          <t>Results</t>
        </is>
      </c>
      <c r="J81" s="7" t="inlineStr">
        <is>
          <t>In model v0.3</t>
        </is>
      </c>
      <c r="K81" s="6" t="inlineStr">
        <is>
          <t>Hydration 0..1 range</t>
        </is>
      </c>
      <c r="L81" s="6" t="inlineStr"/>
    </row>
    <row r="82">
      <c r="A82" s="6" t="inlineStr">
        <is>
          <t>V078</t>
        </is>
      </c>
      <c r="B82" s="6" t="inlineStr">
        <is>
          <t>Skin</t>
        </is>
      </c>
      <c r="C82" s="6" t="inlineStr">
        <is>
          <t>Frequency range measured</t>
        </is>
      </c>
      <c r="D82" s="6" t="inlineStr">
        <is>
          <t>0.1 Hz – 100 kHz</t>
        </is>
      </c>
      <c r="E82" s="6" t="inlineStr">
        <is>
          <t>Hz</t>
        </is>
      </c>
      <c r="F82" s="6" t="inlineStr"/>
      <c r="G82" s="6" t="inlineStr">
        <is>
          <t>S10</t>
        </is>
      </c>
      <c r="H82" s="6">
        <f>IFERROR(INDEX(Sources!$B:$B,MATCH(G82,Sources!$A:$A,0)),"")</f>
        <v/>
      </c>
      <c r="I82" s="6" t="inlineStr">
        <is>
          <t>Methods</t>
        </is>
      </c>
      <c r="J82" s="9" t="inlineStr">
        <is>
          <t>Context only</t>
        </is>
      </c>
      <c r="K82" s="6" t="inlineStr"/>
      <c r="L82" s="6" t="inlineStr">
        <is>
          <t>Below most of our sweep</t>
        </is>
      </c>
    </row>
    <row r="83">
      <c r="A83" s="6" t="inlineStr">
        <is>
          <t>V079</t>
        </is>
      </c>
      <c r="B83" s="6" t="inlineStr">
        <is>
          <t>Device</t>
        </is>
      </c>
      <c r="C83" s="6" t="inlineStr">
        <is>
          <t>Return-path factor x at the wrist</t>
        </is>
      </c>
      <c r="D83" s="8" t="n">
        <v>0.3642</v>
      </c>
      <c r="E83" s="6" t="inlineStr">
        <is>
          <t>-</t>
        </is>
      </c>
      <c r="F83" s="6" t="inlineStr">
        <is>
          <t>Fraction of free-space self-capacitance</t>
        </is>
      </c>
      <c r="G83" s="6" t="inlineStr">
        <is>
          <t>S11</t>
        </is>
      </c>
      <c r="H83" s="6">
        <f>IFERROR(INDEX(Sources!$B:$B,MATCH(G83,Sources!$A:$A,0)),"")</f>
        <v/>
      </c>
      <c r="I83" s="6" t="inlineStr">
        <is>
          <t>Fig. 8 table</t>
        </is>
      </c>
      <c r="J83" s="7" t="inlineStr">
        <is>
          <t>In model v0.3</t>
        </is>
      </c>
      <c r="K83" s="6" t="inlineStr">
        <is>
          <t>C_GE = 8ε₀a × 0.364 ≈ 0.45 pF (low end)</t>
        </is>
      </c>
      <c r="L83" s="6" t="inlineStr">
        <is>
          <t>Highest of the measured locations</t>
        </is>
      </c>
    </row>
    <row r="84">
      <c r="A84" s="6" t="inlineStr">
        <is>
          <t>V080</t>
        </is>
      </c>
      <c r="B84" s="6" t="inlineStr">
        <is>
          <t>Device</t>
        </is>
      </c>
      <c r="C84" s="6" t="inlineStr">
        <is>
          <t>Return-path factor x at the elbow</t>
        </is>
      </c>
      <c r="D84" s="8" t="n">
        <v>0.2139</v>
      </c>
      <c r="E84" s="6" t="inlineStr">
        <is>
          <t>-</t>
        </is>
      </c>
      <c r="F84" s="6" t="inlineStr"/>
      <c r="G84" s="6" t="inlineStr">
        <is>
          <t>S11</t>
        </is>
      </c>
      <c r="H84" s="6">
        <f>IFERROR(INDEX(Sources!$B:$B,MATCH(G84,Sources!$A:$A,0)),"")</f>
        <v/>
      </c>
      <c r="I84" s="6" t="inlineStr">
        <is>
          <t>Fig. 8 table</t>
        </is>
      </c>
      <c r="J84" s="9" t="inlineStr">
        <is>
          <t>Context only</t>
        </is>
      </c>
      <c r="K84" s="6" t="inlineStr"/>
      <c r="L84" s="6" t="inlineStr"/>
    </row>
    <row r="85">
      <c r="A85" s="6" t="inlineStr">
        <is>
          <t>V081</t>
        </is>
      </c>
      <c r="B85" s="6" t="inlineStr">
        <is>
          <t>Device</t>
        </is>
      </c>
      <c r="C85" s="6" t="inlineStr">
        <is>
          <t>Return-path factor x at the shoulder</t>
        </is>
      </c>
      <c r="D85" s="8" t="n">
        <v>0.0588</v>
      </c>
      <c r="E85" s="6" t="inlineStr">
        <is>
          <t>-</t>
        </is>
      </c>
      <c r="F85" s="6" t="inlineStr"/>
      <c r="G85" s="6" t="inlineStr">
        <is>
          <t>S11</t>
        </is>
      </c>
      <c r="H85" s="6">
        <f>IFERROR(INDEX(Sources!$B:$B,MATCH(G85,Sources!$A:$A,0)),"")</f>
        <v/>
      </c>
      <c r="I85" s="6" t="inlineStr">
        <is>
          <t>Fig. 8 table</t>
        </is>
      </c>
      <c r="J85" s="9" t="inlineStr">
        <is>
          <t>Context only</t>
        </is>
      </c>
      <c r="K85" s="6" t="inlineStr"/>
      <c r="L85" s="6" t="inlineStr"/>
    </row>
    <row r="86">
      <c r="A86" s="6" t="inlineStr">
        <is>
          <t>V082</t>
        </is>
      </c>
      <c r="B86" s="6" t="inlineStr">
        <is>
          <t>Device</t>
        </is>
      </c>
      <c r="C86" s="6" t="inlineStr">
        <is>
          <t>Return-path factor x at the torso</t>
        </is>
      </c>
      <c r="D86" s="8" t="n">
        <v>0.1457</v>
      </c>
      <c r="E86" s="6" t="inlineStr">
        <is>
          <t>-</t>
        </is>
      </c>
      <c r="F86" s="6" t="inlineStr"/>
      <c r="G86" s="6" t="inlineStr">
        <is>
          <t>S11</t>
        </is>
      </c>
      <c r="H86" s="6">
        <f>IFERROR(INDEX(Sources!$B:$B,MATCH(G86,Sources!$A:$A,0)),"")</f>
        <v/>
      </c>
      <c r="I86" s="6" t="inlineStr">
        <is>
          <t>Fig. 8 table</t>
        </is>
      </c>
      <c r="J86" s="9" t="inlineStr">
        <is>
          <t>Context only</t>
        </is>
      </c>
      <c r="K86" s="6" t="inlineStr"/>
      <c r="L86" s="6" t="inlineStr"/>
    </row>
    <row r="87">
      <c r="A87" s="6" t="inlineStr">
        <is>
          <t>V083</t>
        </is>
      </c>
      <c r="B87" s="6" t="inlineStr">
        <is>
          <t>Device</t>
        </is>
      </c>
      <c r="C87" s="6" t="inlineStr">
        <is>
          <t>Free-space return path of a small device</t>
        </is>
      </c>
      <c r="D87" s="6" t="inlineStr">
        <is>
          <t>≈ 1</t>
        </is>
      </c>
      <c r="E87" s="6" t="inlineStr">
        <is>
          <t>pF</t>
        </is>
      </c>
      <c r="F87" s="6" t="inlineStr">
        <is>
          <t>Device radius a few cm; C = 8·ε₀·a</t>
        </is>
      </c>
      <c r="G87" s="6" t="inlineStr">
        <is>
          <t>S11</t>
        </is>
      </c>
      <c r="H87" s="6">
        <f>IFERROR(INDEX(Sources!$B:$B,MATCH(G87,Sources!$A:$A,0)),"")</f>
        <v/>
      </c>
      <c r="I87" s="6" t="inlineStr">
        <is>
          <t>Section III-A</t>
        </is>
      </c>
      <c r="J87" s="7" t="inlineStr">
        <is>
          <t>In model v0.3</t>
        </is>
      </c>
      <c r="K87" s="6" t="inlineStr">
        <is>
          <t>8ε₀a self-capacitance</t>
        </is>
      </c>
      <c r="L87" s="6" t="inlineStr"/>
    </row>
    <row r="88">
      <c r="A88" s="6" t="inlineStr">
        <is>
          <t>V084</t>
        </is>
      </c>
      <c r="B88" s="6" t="inlineStr">
        <is>
          <t>Device</t>
        </is>
      </c>
      <c r="C88" s="6" t="inlineStr">
        <is>
          <t>Receiver return path</t>
        </is>
      </c>
      <c r="D88" s="6" t="inlineStr">
        <is>
          <t>&lt; 1</t>
        </is>
      </c>
      <c r="E88" s="6" t="inlineStr">
        <is>
          <t>pF</t>
        </is>
      </c>
      <c r="F88" s="6" t="inlineStr"/>
      <c r="G88" s="6" t="inlineStr">
        <is>
          <t>S11</t>
        </is>
      </c>
      <c r="H88" s="6">
        <f>IFERROR(INDEX(Sources!$B:$B,MATCH(G88,Sources!$A:$A,0)),"")</f>
        <v/>
      </c>
      <c r="I88" s="6" t="inlineStr">
        <is>
          <t>Section IV-A</t>
        </is>
      </c>
      <c r="J88" s="9" t="inlineStr">
        <is>
          <t>Context only</t>
        </is>
      </c>
      <c r="K88" s="6" t="inlineStr"/>
      <c r="L88" s="6" t="inlineStr"/>
    </row>
    <row r="89">
      <c r="A89" s="6" t="inlineStr">
        <is>
          <t>V085</t>
        </is>
      </c>
      <c r="B89" s="6" t="inlineStr">
        <is>
          <t>Body</t>
        </is>
      </c>
      <c r="C89" s="6" t="inlineStr">
        <is>
          <t>Tissue / skin resistance (order)</t>
        </is>
      </c>
      <c r="D89" s="6" t="inlineStr">
        <is>
          <t>~100 Ω / ~10 kΩ</t>
        </is>
      </c>
      <c r="E89" s="6" t="inlineStr">
        <is>
          <t>-</t>
        </is>
      </c>
      <c r="F89" s="6" t="inlineStr"/>
      <c r="G89" s="6" t="inlineStr">
        <is>
          <t>S11</t>
        </is>
      </c>
      <c r="H89" s="6">
        <f>IFERROR(INDEX(Sources!$B:$B,MATCH(G89,Sources!$A:$A,0)),"")</f>
        <v/>
      </c>
      <c r="I89" s="6" t="inlineStr">
        <is>
          <t>Section III-A</t>
        </is>
      </c>
      <c r="J89" s="9" t="inlineStr">
        <is>
          <t>Context only</t>
        </is>
      </c>
      <c r="K89" s="6" t="inlineStr"/>
      <c r="L89" s="6" t="inlineStr"/>
    </row>
    <row r="90">
      <c r="A90" s="6" t="inlineStr">
        <is>
          <t>V086</t>
        </is>
      </c>
      <c r="B90" s="6" t="inlineStr">
        <is>
          <t>Bystander</t>
        </is>
      </c>
      <c r="C90" s="6" t="inlineStr">
        <is>
          <t>Body-to-body capacitance at 1 m</t>
        </is>
      </c>
      <c r="D90" s="8" t="n">
        <v>21</v>
      </c>
      <c r="E90" s="6" t="inlineStr">
        <is>
          <t>pF</t>
        </is>
      </c>
      <c r="F90" s="6" t="inlineStr">
        <is>
          <t>Electrostatic FEM</t>
        </is>
      </c>
      <c r="G90" s="6" t="inlineStr">
        <is>
          <t>S12</t>
        </is>
      </c>
      <c r="H90" s="6">
        <f>IFERROR(INDEX(Sources!$B:$B,MATCH(G90,Sources!$A:$A,0)),"")</f>
        <v/>
      </c>
      <c r="I90" s="6" t="inlineStr">
        <is>
          <t>Fig. 7(a) / text</t>
        </is>
      </c>
      <c r="J90" s="7" t="inlineStr">
        <is>
          <t>In model v0.3</t>
        </is>
      </c>
      <c r="K90" s="6" t="inlineStr">
        <is>
          <t>Bystander 21–40 pF</t>
        </is>
      </c>
      <c r="L90" s="6" t="inlineStr">
        <is>
          <t>Model now uses 2–15 pF at 0.2–0.5 m: too low</t>
        </is>
      </c>
    </row>
    <row r="91">
      <c r="A91" s="6" t="inlineStr">
        <is>
          <t>V087</t>
        </is>
      </c>
      <c r="B91" s="6" t="inlineStr">
        <is>
          <t>Bystander</t>
        </is>
      </c>
      <c r="C91" s="6" t="inlineStr">
        <is>
          <t>Body-to-body capacitance at 5 m</t>
        </is>
      </c>
      <c r="D91" s="8" t="n">
        <v>6.6</v>
      </c>
      <c r="E91" s="6" t="inlineStr">
        <is>
          <t>pF</t>
        </is>
      </c>
      <c r="F91" s="6" t="inlineStr">
        <is>
          <t>Electrostatic FEM</t>
        </is>
      </c>
      <c r="G91" s="6" t="inlineStr">
        <is>
          <t>S12</t>
        </is>
      </c>
      <c r="H91" s="6">
        <f>IFERROR(INDEX(Sources!$B:$B,MATCH(G91,Sources!$A:$A,0)),"")</f>
        <v/>
      </c>
      <c r="I91" s="6" t="inlineStr">
        <is>
          <t>Text</t>
        </is>
      </c>
      <c r="J91" s="9" t="inlineStr">
        <is>
          <t>Context only</t>
        </is>
      </c>
      <c r="K91" s="6" t="inlineStr"/>
      <c r="L91" s="6" t="inlineStr"/>
    </row>
    <row r="92">
      <c r="A92" s="6" t="inlineStr">
        <is>
          <t>V088</t>
        </is>
      </c>
      <c r="B92" s="6" t="inlineStr">
        <is>
          <t>Body</t>
        </is>
      </c>
      <c r="C92" s="6" t="inlineStr">
        <is>
          <t>Body-to-ground capacitance</t>
        </is>
      </c>
      <c r="D92" s="8" t="n">
        <v>150</v>
      </c>
      <c r="E92" s="6" t="inlineStr">
        <is>
          <t>pF</t>
        </is>
      </c>
      <c r="F92" s="6" t="inlineStr">
        <is>
          <t>Fixed in model</t>
        </is>
      </c>
      <c r="G92" s="6" t="inlineStr">
        <is>
          <t>S12</t>
        </is>
      </c>
      <c r="H92" s="6">
        <f>IFERROR(INDEX(Sources!$B:$B,MATCH(G92,Sources!$A:$A,0)),"")</f>
        <v/>
      </c>
      <c r="I92" s="6" t="inlineStr">
        <is>
          <t>Text</t>
        </is>
      </c>
      <c r="J92" s="9" t="inlineStr">
        <is>
          <t>Context only</t>
        </is>
      </c>
      <c r="K92" s="6" t="inlineStr">
        <is>
          <t>Agrees with S4/S5</t>
        </is>
      </c>
      <c r="L92" s="6" t="inlineStr"/>
    </row>
    <row r="93">
      <c r="A93" s="6" t="inlineStr">
        <is>
          <t>V089</t>
        </is>
      </c>
      <c r="B93" s="6" t="inlineStr">
        <is>
          <t>Anatomy</t>
        </is>
      </c>
      <c r="C93" s="6" t="inlineStr">
        <is>
          <t>Hand area (palmar, incl. fingers), men</t>
        </is>
      </c>
      <c r="D93" s="6" t="inlineStr">
        <is>
          <t>146.5 ± 15.1</t>
        </is>
      </c>
      <c r="E93" s="6" t="inlineStr">
        <is>
          <t>cm²</t>
        </is>
      </c>
      <c r="F93" s="6" t="inlineStr">
        <is>
          <t>Indian adults 18–60, n = 150</t>
        </is>
      </c>
      <c r="G93" s="6" t="inlineStr">
        <is>
          <t>S13</t>
        </is>
      </c>
      <c r="H93" s="6">
        <f>IFERROR(INDEX(Sources!$B:$B,MATCH(G93,Sources!$A:$A,0)),"")</f>
        <v/>
      </c>
      <c r="I93" s="6" t="inlineStr">
        <is>
          <t>Results</t>
        </is>
      </c>
      <c r="J93" s="7" t="inlineStr">
        <is>
          <t>In model v0.3</t>
        </is>
      </c>
      <c r="K93" s="6" t="inlineStr">
        <is>
          <t>Grab contact 40–80 cm² = 30–55% of hand</t>
        </is>
      </c>
      <c r="L93" s="6" t="inlineStr">
        <is>
          <t>Supports 40–80 cm² grab contact</t>
        </is>
      </c>
    </row>
    <row r="94">
      <c r="A94" s="6" t="inlineStr">
        <is>
          <t>V090</t>
        </is>
      </c>
      <c r="B94" s="6" t="inlineStr">
        <is>
          <t>Anatomy</t>
        </is>
      </c>
      <c r="C94" s="6" t="inlineStr">
        <is>
          <t>Hand area (palmar, incl. fingers), women</t>
        </is>
      </c>
      <c r="D94" s="6" t="inlineStr">
        <is>
          <t>132.4 ± 14.1</t>
        </is>
      </c>
      <c r="E94" s="6" t="inlineStr">
        <is>
          <t>cm²</t>
        </is>
      </c>
      <c r="F94" s="6" t="inlineStr">
        <is>
          <t>n = 150</t>
        </is>
      </c>
      <c r="G94" s="6" t="inlineStr">
        <is>
          <t>S13</t>
        </is>
      </c>
      <c r="H94" s="6">
        <f>IFERROR(INDEX(Sources!$B:$B,MATCH(G94,Sources!$A:$A,0)),"")</f>
        <v/>
      </c>
      <c r="I94" s="6" t="inlineStr">
        <is>
          <t>Results</t>
        </is>
      </c>
      <c r="J94" s="7" t="inlineStr">
        <is>
          <t>In model v0.3</t>
        </is>
      </c>
      <c r="K94" s="6" t="inlineStr">
        <is>
          <t>Grab contact 40–80 cm²</t>
        </is>
      </c>
      <c r="L94" s="6" t="inlineStr"/>
    </row>
    <row r="95">
      <c r="A95" s="6" t="inlineStr">
        <is>
          <t>V091</t>
        </is>
      </c>
      <c r="B95" s="6" t="inlineStr">
        <is>
          <t>Anatomy</t>
        </is>
      </c>
      <c r="C95" s="6" t="inlineStr">
        <is>
          <t>Palm area, men</t>
        </is>
      </c>
      <c r="D95" s="6" t="inlineStr">
        <is>
          <t>77.9 ± 10.3</t>
        </is>
      </c>
      <c r="E95" s="6" t="inlineStr">
        <is>
          <t>cm²</t>
        </is>
      </c>
      <c r="F95" s="6" t="inlineStr"/>
      <c r="G95" s="6" t="inlineStr">
        <is>
          <t>S13</t>
        </is>
      </c>
      <c r="H95" s="6">
        <f>IFERROR(INDEX(Sources!$B:$B,MATCH(G95,Sources!$A:$A,0)),"")</f>
        <v/>
      </c>
      <c r="I95" s="6" t="inlineStr">
        <is>
          <t>Results</t>
        </is>
      </c>
      <c r="J95" s="9" t="inlineStr">
        <is>
          <t>Context only</t>
        </is>
      </c>
      <c r="K95" s="6" t="inlineStr"/>
      <c r="L95" s="6" t="inlineStr"/>
    </row>
    <row r="96">
      <c r="A96" s="6" t="inlineStr">
        <is>
          <t>V092</t>
        </is>
      </c>
      <c r="B96" s="6" t="inlineStr">
        <is>
          <t>Anatomy</t>
        </is>
      </c>
      <c r="C96" s="6" t="inlineStr">
        <is>
          <t>Palm area, women</t>
        </is>
      </c>
      <c r="D96" s="6" t="inlineStr">
        <is>
          <t>73.7 ± 9.1</t>
        </is>
      </c>
      <c r="E96" s="6" t="inlineStr">
        <is>
          <t>cm²</t>
        </is>
      </c>
      <c r="F96" s="6" t="inlineStr"/>
      <c r="G96" s="6" t="inlineStr">
        <is>
          <t>S13</t>
        </is>
      </c>
      <c r="H96" s="6">
        <f>IFERROR(INDEX(Sources!$B:$B,MATCH(G96,Sources!$A:$A,0)),"")</f>
        <v/>
      </c>
      <c r="I96" s="6" t="inlineStr">
        <is>
          <t>Results</t>
        </is>
      </c>
      <c r="J96" s="9" t="inlineStr">
        <is>
          <t>Context only</t>
        </is>
      </c>
      <c r="K96" s="6" t="inlineStr"/>
      <c r="L96" s="6" t="inlineStr"/>
    </row>
    <row r="97">
      <c r="A97" s="6" t="inlineStr">
        <is>
          <t>V093</t>
        </is>
      </c>
      <c r="B97" s="6" t="inlineStr">
        <is>
          <t>Anatomy</t>
        </is>
      </c>
      <c r="C97" s="6" t="inlineStr">
        <is>
          <t>Hand as % of body surface area</t>
        </is>
      </c>
      <c r="D97" s="6" t="inlineStr">
        <is>
          <t>0.92</t>
        </is>
      </c>
      <c r="E97" s="6" t="inlineStr">
        <is>
          <t>%</t>
        </is>
      </c>
      <c r="F97" s="6" t="inlineStr">
        <is>
          <t>Men and women</t>
        </is>
      </c>
      <c r="G97" s="6" t="inlineStr">
        <is>
          <t>S13</t>
        </is>
      </c>
      <c r="H97" s="6">
        <f>IFERROR(INDEX(Sources!$B:$B,MATCH(G97,Sources!$A:$A,0)),"")</f>
        <v/>
      </c>
      <c r="I97" s="6" t="inlineStr">
        <is>
          <t>Results</t>
        </is>
      </c>
      <c r="J97" s="9" t="inlineStr">
        <is>
          <t>Context only</t>
        </is>
      </c>
      <c r="K97" s="6" t="inlineStr"/>
      <c r="L97" s="6" t="inlineStr"/>
    </row>
    <row r="98">
      <c r="A98" s="6" t="inlineStr">
        <is>
          <t>V094</t>
        </is>
      </c>
      <c r="B98" s="6" t="inlineStr">
        <is>
          <t>Shield</t>
        </is>
      </c>
      <c r="C98" s="6" t="inlineStr">
        <is>
          <t>Unshielded ground parasitic</t>
        </is>
      </c>
      <c r="D98" s="6" t="inlineStr">
        <is>
          <t>&gt; 100 (can be)</t>
        </is>
      </c>
      <c r="E98" s="6" t="inlineStr">
        <is>
          <t>pF</t>
        </is>
      </c>
      <c r="F98" s="6" t="inlineStr"/>
      <c r="G98" s="6" t="inlineStr">
        <is>
          <t>S14</t>
        </is>
      </c>
      <c r="H98" s="6">
        <f>IFERROR(INDEX(Sources!$B:$B,MATCH(G98,Sources!$A:$A,0)),"")</f>
        <v/>
      </c>
      <c r="I98" s="6" t="inlineStr">
        <is>
          <t>Fig. 4</t>
        </is>
      </c>
      <c r="J98" s="9" t="inlineStr">
        <is>
          <t>Context only</t>
        </is>
      </c>
      <c r="K98" s="6" t="inlineStr"/>
      <c r="L98" s="6" t="inlineStr"/>
    </row>
    <row r="99">
      <c r="A99" s="6" t="inlineStr">
        <is>
          <t>V095</t>
        </is>
      </c>
      <c r="B99" s="6" t="inlineStr">
        <is>
          <t>Shield</t>
        </is>
      </c>
      <c r="C99" s="6" t="inlineStr">
        <is>
          <t>Rejection of object behind sensor (3.6 cm)</t>
        </is>
      </c>
      <c r="D99" s="6" t="inlineStr">
        <is>
          <t>50.9 / 61.1 / 76.3</t>
        </is>
      </c>
      <c r="E99" s="6" t="inlineStr">
        <is>
          <t>% reduction</t>
        </is>
      </c>
      <c r="F99" s="6" t="inlineStr">
        <is>
          <t>Same-size shield / 200% shield / ring + shield</t>
        </is>
      </c>
      <c r="G99" s="6" t="inlineStr">
        <is>
          <t>S14</t>
        </is>
      </c>
      <c r="H99" s="6">
        <f>IFERROR(INDEX(Sources!$B:$B,MATCH(G99,Sources!$A:$A,0)),"")</f>
        <v/>
      </c>
      <c r="I99" s="6" t="inlineStr">
        <is>
          <t>Table 1</t>
        </is>
      </c>
      <c r="J99" s="7" t="inlineStr">
        <is>
          <t>In model v0.3</t>
        </is>
      </c>
      <c r="K99" s="6" t="inlineStr">
        <is>
          <t>Shield residual 20–50%</t>
        </is>
      </c>
      <c r="L99" s="6" t="inlineStr">
        <is>
          <t>Residual 24–49%</t>
        </is>
      </c>
    </row>
    <row r="100">
      <c r="A100" s="6" t="inlineStr">
        <is>
          <t>V096</t>
        </is>
      </c>
      <c r="B100" s="6" t="inlineStr">
        <is>
          <t>Shield</t>
        </is>
      </c>
      <c r="C100" s="6" t="inlineStr">
        <is>
          <t>Rejection of object at side (1 cm)</t>
        </is>
      </c>
      <c r="D100" s="6" t="inlineStr">
        <is>
          <t>37.2 / 70.6 / 77.0</t>
        </is>
      </c>
      <c r="E100" s="6" t="inlineStr">
        <is>
          <t>% reduction</t>
        </is>
      </c>
      <c r="F100" s="6" t="inlineStr">
        <is>
          <t>Same three configurations</t>
        </is>
      </c>
      <c r="G100" s="6" t="inlineStr">
        <is>
          <t>S14</t>
        </is>
      </c>
      <c r="H100" s="6">
        <f>IFERROR(INDEX(Sources!$B:$B,MATCH(G100,Sources!$A:$A,0)),"")</f>
        <v/>
      </c>
      <c r="I100" s="6" t="inlineStr">
        <is>
          <t>Table 1</t>
        </is>
      </c>
      <c r="J100" s="7" t="inlineStr">
        <is>
          <t>In model v0.3</t>
        </is>
      </c>
      <c r="K100" s="6" t="inlineStr">
        <is>
          <t>Shield residual 20–50%</t>
        </is>
      </c>
      <c r="L100" s="6" t="inlineStr">
        <is>
          <t>Residual 23–63%</t>
        </is>
      </c>
    </row>
    <row r="101">
      <c r="A101" s="6" t="inlineStr">
        <is>
          <t>V097</t>
        </is>
      </c>
      <c r="B101" s="6" t="inlineStr">
        <is>
          <t>Shield</t>
        </is>
      </c>
      <c r="C101" s="6" t="inlineStr">
        <is>
          <t>Rejection of object at side (5 cm)</t>
        </is>
      </c>
      <c r="D101" s="6" t="inlineStr">
        <is>
          <t>34.2 / 64.6 / 75.0</t>
        </is>
      </c>
      <c r="E101" s="6" t="inlineStr">
        <is>
          <t>% reduction</t>
        </is>
      </c>
      <c r="F101" s="6" t="inlineStr">
        <is>
          <t>Same three configurations</t>
        </is>
      </c>
      <c r="G101" s="6" t="inlineStr">
        <is>
          <t>S14</t>
        </is>
      </c>
      <c r="H101" s="6">
        <f>IFERROR(INDEX(Sources!$B:$B,MATCH(G101,Sources!$A:$A,0)),"")</f>
        <v/>
      </c>
      <c r="I101" s="6" t="inlineStr">
        <is>
          <t>Table 1</t>
        </is>
      </c>
      <c r="J101" s="9" t="inlineStr">
        <is>
          <t>Context only</t>
        </is>
      </c>
      <c r="K101" s="6" t="inlineStr"/>
      <c r="L101" s="6" t="inlineStr"/>
    </row>
    <row r="102">
      <c r="A102" s="6" t="inlineStr">
        <is>
          <t>V098</t>
        </is>
      </c>
      <c r="B102" s="6" t="inlineStr">
        <is>
          <t>Shield</t>
        </is>
      </c>
      <c r="C102" s="6" t="inlineStr">
        <is>
          <t>Loss of wanted sensitivity (top, 1 cm)</t>
        </is>
      </c>
      <c r="D102" s="6" t="inlineStr">
        <is>
          <t>23.6 / 26.5 / 39.3</t>
        </is>
      </c>
      <c r="E102" s="6" t="inlineStr">
        <is>
          <t>% reduction</t>
        </is>
      </c>
      <c r="F102" s="6" t="inlineStr">
        <is>
          <t>Same three configurations</t>
        </is>
      </c>
      <c r="G102" s="6" t="inlineStr">
        <is>
          <t>S14</t>
        </is>
      </c>
      <c r="H102" s="6">
        <f>IFERROR(INDEX(Sources!$B:$B,MATCH(G102,Sources!$A:$A,0)),"")</f>
        <v/>
      </c>
      <c r="I102" s="6" t="inlineStr">
        <is>
          <t>Table 1</t>
        </is>
      </c>
      <c r="J102" s="9" t="inlineStr">
        <is>
          <t>Context only</t>
        </is>
      </c>
      <c r="K102" s="6" t="inlineStr"/>
      <c r="L102" s="6" t="inlineStr">
        <is>
          <t>Shield also costs some signal</t>
        </is>
      </c>
    </row>
    <row r="103">
      <c r="A103" s="6" t="inlineStr">
        <is>
          <t>V099</t>
        </is>
      </c>
      <c r="B103" s="6" t="inlineStr">
        <is>
          <t>Measurement</t>
        </is>
      </c>
      <c r="C103" s="6" t="inlineStr">
        <is>
          <t>ESP32 built-in ADC fluctuation</t>
        </is>
      </c>
      <c r="D103" s="6" t="inlineStr">
        <is>
          <t>~21.8</t>
        </is>
      </c>
      <c r="E103" s="6" t="inlineStr">
        <is>
          <t>mV</t>
        </is>
      </c>
      <c r="F103" s="6" t="inlineStr">
        <is>
          <t>Unclear if std. dev. or p-p; ≈27 LSB at 3.3 V</t>
        </is>
      </c>
      <c r="G103" s="6" t="inlineStr">
        <is>
          <t>S15</t>
        </is>
      </c>
      <c r="H103" s="6">
        <f>IFERROR(INDEX(Sources!$B:$B,MATCH(G103,Sources!$A:$A,0)),"")</f>
        <v/>
      </c>
      <c r="I103" s="6" t="inlineStr">
        <is>
          <t>Results</t>
        </is>
      </c>
      <c r="J103" s="7" t="inlineStr">
        <is>
          <t>In model v0.3</t>
        </is>
      </c>
      <c r="K103" s="6" t="inlineStr">
        <is>
          <t>Noise 0.1% of full scale after averaging</t>
        </is>
      </c>
      <c r="L103" s="6" t="inlineStr">
        <is>
          <t>Weak source</t>
        </is>
      </c>
    </row>
    <row r="104">
      <c r="A104" s="6" t="inlineStr">
        <is>
          <t>V100</t>
        </is>
      </c>
      <c r="B104" s="6" t="inlineStr">
        <is>
          <t>Measurement</t>
        </is>
      </c>
      <c r="C104" s="6" t="inlineStr">
        <is>
          <t>Arduino ADC fluctuation</t>
        </is>
      </c>
      <c r="D104" s="6" t="inlineStr">
        <is>
          <t>~4.2</t>
        </is>
      </c>
      <c r="E104" s="6" t="inlineStr">
        <is>
          <t>mV</t>
        </is>
      </c>
      <c r="F104" s="6" t="inlineStr"/>
      <c r="G104" s="6" t="inlineStr">
        <is>
          <t>S15</t>
        </is>
      </c>
      <c r="H104" s="6">
        <f>IFERROR(INDEX(Sources!$B:$B,MATCH(G104,Sources!$A:$A,0)),"")</f>
        <v/>
      </c>
      <c r="I104" s="6" t="inlineStr">
        <is>
          <t>Results</t>
        </is>
      </c>
      <c r="J104" s="9" t="inlineStr">
        <is>
          <t>Context only</t>
        </is>
      </c>
      <c r="K104" s="6" t="inlineStr"/>
      <c r="L104" s="6" t="inlineStr"/>
    </row>
    <row r="105">
      <c r="A105" s="6" t="inlineStr">
        <is>
          <t>V101</t>
        </is>
      </c>
      <c r="B105" s="6" t="inlineStr">
        <is>
          <t>Measurement</t>
        </is>
      </c>
      <c r="C105" s="6" t="inlineStr">
        <is>
          <t>ADS1115 fluctuation</t>
        </is>
      </c>
      <c r="D105" s="6" t="inlineStr">
        <is>
          <t>~2</t>
        </is>
      </c>
      <c r="E105" s="6" t="inlineStr">
        <is>
          <t>mV</t>
        </is>
      </c>
      <c r="F105" s="6" t="inlineStr"/>
      <c r="G105" s="6" t="inlineStr">
        <is>
          <t>S15</t>
        </is>
      </c>
      <c r="H105" s="6">
        <f>IFERROR(INDEX(Sources!$B:$B,MATCH(G105,Sources!$A:$A,0)),"")</f>
        <v/>
      </c>
      <c r="I105" s="6" t="inlineStr">
        <is>
          <t>Results</t>
        </is>
      </c>
      <c r="J105" s="9" t="inlineStr">
        <is>
          <t>Context only</t>
        </is>
      </c>
      <c r="K105" s="6" t="inlineStr"/>
      <c r="L105" s="6" t="inlineStr">
        <is>
          <t>External ADC option</t>
        </is>
      </c>
    </row>
    <row r="106">
      <c r="A106" s="6" t="inlineStr">
        <is>
          <t>V102</t>
        </is>
      </c>
      <c r="B106" s="6" t="inlineStr">
        <is>
          <t>Measurement</t>
        </is>
      </c>
      <c r="C106" s="6" t="inlineStr">
        <is>
          <t>ESP32 calibrated error</t>
        </is>
      </c>
      <c r="D106" s="6" t="inlineStr">
        <is>
          <t>&lt; 30</t>
        </is>
      </c>
      <c r="E106" s="6" t="inlineStr">
        <is>
          <t>mV</t>
        </is>
      </c>
      <c r="F106" s="6" t="inlineStr"/>
      <c r="G106" s="6" t="inlineStr">
        <is>
          <t>S16</t>
        </is>
      </c>
      <c r="H106" s="6">
        <f>IFERROR(INDEX(Sources!$B:$B,MATCH(G106,Sources!$A:$A,0)),"")</f>
        <v/>
      </c>
      <c r="I106" s="6" t="inlineStr">
        <is>
          <t>Results</t>
        </is>
      </c>
      <c r="J106" s="9" t="inlineStr">
        <is>
          <t>Context only</t>
        </is>
      </c>
      <c r="K106" s="6" t="inlineStr"/>
      <c r="L106" s="6" t="inlineStr">
        <is>
          <t>Accuracy, not noise</t>
        </is>
      </c>
    </row>
    <row r="107">
      <c r="A107" s="6" t="inlineStr">
        <is>
          <t>V103</t>
        </is>
      </c>
      <c r="B107" s="6" t="inlineStr">
        <is>
          <t>Measurement</t>
        </is>
      </c>
      <c r="C107" s="6" t="inlineStr">
        <is>
          <t>ESP32-S3 calibrated error</t>
        </is>
      </c>
      <c r="D107" s="6" t="inlineStr">
        <is>
          <t>−30 to 0</t>
        </is>
      </c>
      <c r="E107" s="6" t="inlineStr">
        <is>
          <t>mV</t>
        </is>
      </c>
      <c r="F107" s="6" t="inlineStr"/>
      <c r="G107" s="6" t="inlineStr">
        <is>
          <t>S16</t>
        </is>
      </c>
      <c r="H107" s="6">
        <f>IFERROR(INDEX(Sources!$B:$B,MATCH(G107,Sources!$A:$A,0)),"")</f>
        <v/>
      </c>
      <c r="I107" s="6" t="inlineStr">
        <is>
          <t>Results</t>
        </is>
      </c>
      <c r="J107" s="9" t="inlineStr">
        <is>
          <t>Context only</t>
        </is>
      </c>
      <c r="K107" s="6" t="inlineStr"/>
      <c r="L107" s="6" t="inlineStr"/>
    </row>
    <row r="108">
      <c r="A108" s="6" t="inlineStr">
        <is>
          <t>V104</t>
        </is>
      </c>
      <c r="B108" s="6" t="inlineStr">
        <is>
          <t>Measurement</t>
        </is>
      </c>
      <c r="C108" s="6" t="inlineStr">
        <is>
          <t>ESP32 / ESP32-S3 DNL, INL</t>
        </is>
      </c>
      <c r="D108" s="6" t="inlineStr">
        <is>
          <t>±7, ±12 / ±4, ±8</t>
        </is>
      </c>
      <c r="E108" s="6" t="inlineStr">
        <is>
          <t>LSB</t>
        </is>
      </c>
      <c r="F108" s="6" t="inlineStr">
        <is>
          <t>Datasheet values</t>
        </is>
      </c>
      <c r="G108" s="6" t="inlineStr">
        <is>
          <t>S16</t>
        </is>
      </c>
      <c r="H108" s="6">
        <f>IFERROR(INDEX(Sources!$B:$B,MATCH(G108,Sources!$A:$A,0)),"")</f>
        <v/>
      </c>
      <c r="I108" s="6" t="inlineStr">
        <is>
          <t>Table 1</t>
        </is>
      </c>
      <c r="J108" s="9" t="inlineStr">
        <is>
          <t>Context only</t>
        </is>
      </c>
      <c r="K108" s="6" t="inlineStr"/>
      <c r="L108" s="6" t="inlineStr"/>
    </row>
    <row r="109">
      <c r="A109" s="6" t="inlineStr">
        <is>
          <t>V105</t>
        </is>
      </c>
      <c r="B109" s="6" t="inlineStr">
        <is>
          <t>Measurement</t>
        </is>
      </c>
      <c r="C109" s="6" t="inlineStr">
        <is>
          <t>ESP32 ADC sample rate</t>
        </is>
      </c>
      <c r="D109" s="6" t="inlineStr">
        <is>
          <t>200 k (RTC) / 2 M (DIG)</t>
        </is>
      </c>
      <c r="E109" s="6" t="inlineStr">
        <is>
          <t>samples/s</t>
        </is>
      </c>
      <c r="F109" s="6" t="inlineStr"/>
      <c r="G109" s="6" t="inlineStr">
        <is>
          <t>S16</t>
        </is>
      </c>
      <c r="H109" s="6">
        <f>IFERROR(INDEX(Sources!$B:$B,MATCH(G109,Sources!$A:$A,0)),"")</f>
        <v/>
      </c>
      <c r="I109" s="6" t="inlineStr">
        <is>
          <t>Table 1</t>
        </is>
      </c>
      <c r="J109" s="9" t="inlineStr">
        <is>
          <t>Context only</t>
        </is>
      </c>
      <c r="K109" s="6" t="inlineStr"/>
      <c r="L109" s="6" t="inlineStr"/>
    </row>
    <row r="110">
      <c r="A110" s="6" t="inlineStr">
        <is>
          <t>V106</t>
        </is>
      </c>
      <c r="B110" s="6" t="inlineStr">
        <is>
          <t>Measurement</t>
        </is>
      </c>
      <c r="C110" s="6" t="inlineStr">
        <is>
          <t>Noise advice</t>
        </is>
      </c>
      <c r="D110" s="6" t="inlineStr">
        <is>
          <t>100 nF on ADC input; multisampling</t>
        </is>
      </c>
      <c r="E110" s="6" t="inlineStr">
        <is>
          <t>-</t>
        </is>
      </c>
      <c r="F110" s="6" t="inlineStr">
        <is>
          <t>No figures given</t>
        </is>
      </c>
      <c r="G110" s="6" t="inlineStr">
        <is>
          <t>S16</t>
        </is>
      </c>
      <c r="H110" s="6">
        <f>IFERROR(INDEX(Sources!$B:$B,MATCH(G110,Sources!$A:$A,0)),"")</f>
        <v/>
      </c>
      <c r="I110" s="6" t="inlineStr">
        <is>
          <t>Text</t>
        </is>
      </c>
      <c r="J110" s="9" t="inlineStr">
        <is>
          <t>Context only</t>
        </is>
      </c>
      <c r="K110" s="6" t="inlineStr"/>
      <c r="L110" s="6" t="inlineStr"/>
    </row>
    <row r="111">
      <c r="A111" s="6" t="inlineStr">
        <is>
          <t>V107</t>
        </is>
      </c>
      <c r="B111" s="6" t="inlineStr">
        <is>
          <t>Static charge</t>
        </is>
      </c>
      <c r="C111" s="6" t="inlineStr">
        <is>
          <t>Body voltage, walking on vinyl floor</t>
        </is>
      </c>
      <c r="D111" s="6" t="inlineStr">
        <is>
          <t>250 – 12,000</t>
        </is>
      </c>
      <c r="E111" s="6" t="inlineStr">
        <is>
          <t>V</t>
        </is>
      </c>
      <c r="F111" s="6" t="inlineStr">
        <is>
          <t>65-90% / 10-20% relative humidity</t>
        </is>
      </c>
      <c r="G111" s="6" t="inlineStr">
        <is>
          <t>S17</t>
        </is>
      </c>
      <c r="H111" s="6">
        <f>IFERROR(INDEX(Sources!$B:$B,MATCH(G111,Sources!$A:$A,0)),"")</f>
        <v/>
      </c>
      <c r="I111" s="6" t="inlineStr">
        <is>
          <t>Table</t>
        </is>
      </c>
      <c r="J111" s="11" t="inlineStr">
        <is>
          <t>Whole-body study</t>
        </is>
      </c>
      <c r="K111" s="6" t="inlineStr">
        <is>
          <t>Fig 11 shaded band</t>
        </is>
      </c>
      <c r="L111" s="6" t="inlineStr"/>
    </row>
    <row r="112">
      <c r="A112" s="6" t="inlineStr">
        <is>
          <t>V108</t>
        </is>
      </c>
      <c r="B112" s="6" t="inlineStr">
        <is>
          <t>Static charge</t>
        </is>
      </c>
      <c r="C112" s="6" t="inlineStr">
        <is>
          <t>Body voltage, walking on carpet</t>
        </is>
      </c>
      <c r="D112" s="6" t="inlineStr">
        <is>
          <t>1,500 – 35,000</t>
        </is>
      </c>
      <c r="E112" s="6" t="inlineStr">
        <is>
          <t>V</t>
        </is>
      </c>
      <c r="F112" s="6" t="inlineStr">
        <is>
          <t>65-90% / 10-20% relative humidity</t>
        </is>
      </c>
      <c r="G112" s="6" t="inlineStr">
        <is>
          <t>S17</t>
        </is>
      </c>
      <c r="H112" s="6">
        <f>IFERROR(INDEX(Sources!$B:$B,MATCH(G112,Sources!$A:$A,0)),"")</f>
        <v/>
      </c>
      <c r="I112" s="6" t="inlineStr">
        <is>
          <t>Table</t>
        </is>
      </c>
      <c r="J112" s="11" t="inlineStr">
        <is>
          <t>Whole-body study</t>
        </is>
      </c>
      <c r="K112" s="6" t="inlineStr"/>
      <c r="L112" s="6" t="inlineStr"/>
    </row>
    <row r="113">
      <c r="A113" s="6" t="inlineStr">
        <is>
          <t>V109</t>
        </is>
      </c>
      <c r="B113" s="6" t="inlineStr">
        <is>
          <t>Static charge</t>
        </is>
      </c>
      <c r="C113" s="6" t="inlineStr">
        <is>
          <t>Body voltage from walking on vinyl (measured)</t>
        </is>
      </c>
      <c r="D113" s="6" t="inlineStr">
        <is>
          <t>up to ~3,500</t>
        </is>
      </c>
      <c r="E113" s="6" t="inlineStr">
        <is>
          <t>V</t>
        </is>
      </c>
      <c r="F113" s="6" t="inlineStr">
        <is>
          <t>Insulating floor</t>
        </is>
      </c>
      <c r="G113" s="6" t="inlineStr">
        <is>
          <t>S18</t>
        </is>
      </c>
      <c r="H113" s="6">
        <f>IFERROR(INDEX(Sources!$B:$B,MATCH(G113,Sources!$A:$A,0)),"")</f>
        <v/>
      </c>
      <c r="I113" s="6" t="inlineStr">
        <is>
          <t>Text</t>
        </is>
      </c>
      <c r="J113" s="11" t="inlineStr">
        <is>
          <t>Whole-body study</t>
        </is>
      </c>
      <c r="K113" s="6" t="inlineStr">
        <is>
          <t>Her own steps: artefact size</t>
        </is>
      </c>
      <c r="L113" s="6" t="inlineStr"/>
    </row>
    <row r="114">
      <c r="A114" s="6" t="inlineStr">
        <is>
          <t>V110</t>
        </is>
      </c>
      <c r="B114" s="6" t="inlineStr">
        <is>
          <t>Passive sensing</t>
        </is>
      </c>
      <c r="C114" s="6" t="inlineStr">
        <is>
          <t>Wrist passive field sensor sensitivity</t>
        </is>
      </c>
      <c r="D114" s="6" t="inlineStr">
        <is>
          <t>microvolt-level</t>
        </is>
      </c>
      <c r="E114" s="6" t="inlineStr">
        <is>
          <t>-</t>
        </is>
      </c>
      <c r="F114" s="6" t="inlineStr">
        <is>
          <t>Wrist-worn, passive</t>
        </is>
      </c>
      <c r="G114" s="6" t="inlineStr">
        <is>
          <t>S19</t>
        </is>
      </c>
      <c r="H114" s="6">
        <f>IFERROR(INDEX(Sources!$B:$B,MATCH(G114,Sources!$A:$A,0)),"")</f>
        <v/>
      </c>
      <c r="I114" s="6" t="inlineStr">
        <is>
          <t>Text</t>
        </is>
      </c>
      <c r="J114" s="11" t="inlineStr">
        <is>
          <t>Whole-body study</t>
        </is>
      </c>
      <c r="K114" s="6" t="inlineStr">
        <is>
          <t>Supports passive channel</t>
        </is>
      </c>
      <c r="L114" s="6" t="inlineStr">
        <is>
          <t>Qualitative</t>
        </is>
      </c>
    </row>
    <row r="115">
      <c r="A115" s="6" t="inlineStr">
        <is>
          <t>V111</t>
        </is>
      </c>
      <c r="B115" s="6" t="inlineStr">
        <is>
          <t>Passive sensing</t>
        </is>
      </c>
      <c r="C115" s="6" t="inlineStr">
        <is>
          <t>ProxiBand: approaching person detected (TPR)</t>
        </is>
      </c>
      <c r="D115" s="6" t="inlineStr">
        <is>
          <t>74.3 / 46</t>
        </is>
      </c>
      <c r="E115" s="6" t="inlineStr">
        <is>
          <t>%</t>
        </is>
      </c>
      <c r="F115" s="6" t="inlineStr">
        <is>
          <t>Indoor / outdoor</t>
        </is>
      </c>
      <c r="G115" s="6" t="inlineStr">
        <is>
          <t>S20</t>
        </is>
      </c>
      <c r="H115" s="6">
        <f>IFERROR(INDEX(Sources!$B:$B,MATCH(G115,Sources!$A:$A,0)),"")</f>
        <v/>
      </c>
      <c r="I115" s="6" t="inlineStr">
        <is>
          <t>Overview text</t>
        </is>
      </c>
      <c r="J115" s="11" t="inlineStr">
        <is>
          <t>Whole-body study</t>
        </is>
      </c>
      <c r="K115" s="6" t="inlineStr">
        <is>
          <t>Supports passive channel</t>
        </is>
      </c>
      <c r="L115" s="6" t="inlineStr"/>
    </row>
    <row r="116">
      <c r="A116" s="6" t="inlineStr">
        <is>
          <t>V112</t>
        </is>
      </c>
      <c r="B116" s="6" t="inlineStr">
        <is>
          <t>Passive sensing</t>
        </is>
      </c>
      <c r="C116" s="6" t="inlineStr">
        <is>
          <t>Contact moment from electrostatic induction current</t>
        </is>
      </c>
      <c r="D116" s="6" t="inlineStr">
        <is>
          <t>detected</t>
        </is>
      </c>
      <c r="E116" s="6" t="inlineStr">
        <is>
          <t>-</t>
        </is>
      </c>
      <c r="F116" s="6" t="inlineStr">
        <is>
          <t>Contact electrification</t>
        </is>
      </c>
      <c r="G116" s="6" t="inlineStr">
        <is>
          <t>S21</t>
        </is>
      </c>
      <c r="H116" s="6">
        <f>IFERROR(INDEX(Sources!$B:$B,MATCH(G116,Sources!$A:$A,0)),"")</f>
        <v/>
      </c>
      <c r="I116" s="6" t="inlineStr">
        <is>
          <t>Results</t>
        </is>
      </c>
      <c r="J116" s="11" t="inlineStr">
        <is>
          <t>Whole-body study</t>
        </is>
      </c>
      <c r="K116" s="6" t="inlineStr">
        <is>
          <t>Supports charge-sharing step</t>
        </is>
      </c>
      <c r="L116" s="6" t="inlineStr">
        <is>
          <t>Qualitative</t>
        </is>
      </c>
    </row>
    <row r="117">
      <c r="A117" s="6" t="inlineStr">
        <is>
          <t>V113</t>
        </is>
      </c>
      <c r="B117" s="6" t="inlineStr">
        <is>
          <t>Passive sensing</t>
        </is>
      </c>
      <c r="C117" s="6" t="inlineStr">
        <is>
          <t>Touch sensing from induced 50 Hz field on body</t>
        </is>
      </c>
      <c r="D117" s="6" t="inlineStr">
        <is>
          <t>demonstrated</t>
        </is>
      </c>
      <c r="E117" s="6" t="inlineStr">
        <is>
          <t>-</t>
        </is>
      </c>
      <c r="F117" s="6" t="inlineStr">
        <is>
          <t>Mains ELF field</t>
        </is>
      </c>
      <c r="G117" s="6" t="inlineStr">
        <is>
          <t>S22</t>
        </is>
      </c>
      <c r="H117" s="6">
        <f>IFERROR(INDEX(Sources!$B:$B,MATCH(G117,Sources!$A:$A,0)),"")</f>
        <v/>
      </c>
      <c r="I117" s="6" t="inlineStr">
        <is>
          <t>Results</t>
        </is>
      </c>
      <c r="J117" s="11" t="inlineStr">
        <is>
          <t>Whole-body study</t>
        </is>
      </c>
      <c r="K117" s="6" t="inlineStr">
        <is>
          <t>50 Hz hum cue</t>
        </is>
      </c>
      <c r="L117" s="6" t="inlineStr">
        <is>
          <t>Qualitative</t>
        </is>
      </c>
    </row>
    <row r="118">
      <c r="A118" s="6" t="inlineStr">
        <is>
          <t>V114</t>
        </is>
      </c>
      <c r="B118" s="6" t="inlineStr">
        <is>
          <t>Static charge</t>
        </is>
      </c>
      <c r="C118" s="6" t="inlineStr">
        <is>
          <t>Peak walking voltage formula</t>
        </is>
      </c>
      <c r="D118" s="6" t="inlineStr">
        <is>
          <t>V_max = R · n · Δq</t>
        </is>
      </c>
      <c r="E118" s="6" t="inlineStr">
        <is>
          <t>-</t>
        </is>
      </c>
      <c r="F118" s="6" t="inlineStr">
        <is>
          <t>R to ground, n steps per second, Δq charge per step</t>
        </is>
      </c>
      <c r="G118" s="6" t="inlineStr">
        <is>
          <t>S18</t>
        </is>
      </c>
      <c r="H118" s="6">
        <f>IFERROR(INDEX(Sources!$B:$B,MATCH(G118,Sources!$A:$A,0)),"")</f>
        <v/>
      </c>
      <c r="I118" s="6" t="inlineStr">
        <is>
          <t>Text</t>
        </is>
      </c>
      <c r="J118" s="12" t="inlineStr">
        <is>
          <t>Fusion study</t>
        </is>
      </c>
      <c r="K118" s="6" t="inlineStr">
        <is>
          <t>Charge-sharing step size</t>
        </is>
      </c>
      <c r="L118" s="6" t="inlineStr"/>
    </row>
    <row r="119">
      <c r="A119" s="6" t="inlineStr">
        <is>
          <t>V115</t>
        </is>
      </c>
      <c r="B119" s="6" t="inlineStr">
        <is>
          <t>Static charge</t>
        </is>
      </c>
      <c r="C119" s="6" t="inlineStr">
        <is>
          <t>Body resistance to ground from initial decay</t>
        </is>
      </c>
      <c r="D119" s="6" t="inlineStr">
        <is>
          <t>≈ 2 × 10^10</t>
        </is>
      </c>
      <c r="E119" s="6" t="inlineStr">
        <is>
          <t>Ω</t>
        </is>
      </c>
      <c r="F119" s="6" t="inlineStr">
        <is>
          <t>Walking test, decay after stopping</t>
        </is>
      </c>
      <c r="G119" s="6" t="inlineStr">
        <is>
          <t>S18</t>
        </is>
      </c>
      <c r="H119" s="6">
        <f>IFERROR(INDEX(Sources!$B:$B,MATCH(G119,Sources!$A:$A,0)),"")</f>
        <v/>
      </c>
      <c r="I119" s="6" t="inlineStr">
        <is>
          <t>Text</t>
        </is>
      </c>
      <c r="J119" s="12" t="inlineStr">
        <is>
          <t>Fusion study</t>
        </is>
      </c>
      <c r="K119" s="6" t="inlineStr">
        <is>
          <t>Decay τ = R·C ≈ 3 s with 150 pF</t>
        </is>
      </c>
      <c r="L119" s="6" t="inlineStr"/>
    </row>
    <row r="120">
      <c r="A120" s="6" t="inlineStr">
        <is>
          <t>V116</t>
        </is>
      </c>
      <c r="B120" s="6" t="inlineStr">
        <is>
          <t>Static charge</t>
        </is>
      </c>
      <c r="C120" s="6" t="inlineStr">
        <is>
          <t>Person-footwear-floor path limit in ESD areas</t>
        </is>
      </c>
      <c r="D120" s="6" t="inlineStr">
        <is>
          <t>&lt; 1.0 × 10^9</t>
        </is>
      </c>
      <c r="E120" s="6" t="inlineStr">
        <is>
          <t>Ω</t>
        </is>
      </c>
      <c r="F120" s="6" t="inlineStr">
        <is>
          <t>ANSI/ESD S20.20</t>
        </is>
      </c>
      <c r="G120" s="6" t="inlineStr">
        <is>
          <t>S24</t>
        </is>
      </c>
      <c r="H120" s="6">
        <f>IFERROR(INDEX(Sources!$B:$B,MATCH(G120,Sources!$A:$A,0)),"")</f>
        <v/>
      </c>
      <c r="I120" s="6" t="inlineStr">
        <is>
          <t>Text</t>
        </is>
      </c>
      <c r="J120" s="9" t="inlineStr">
        <is>
          <t>Context only</t>
        </is>
      </c>
      <c r="K120" s="6" t="inlineStr">
        <is>
          <t>ESD shoes drain charge in &lt; 0.2 s</t>
        </is>
      </c>
      <c r="L120" s="6" t="inlineStr">
        <is>
          <t>Ordinary shoes are far above this</t>
        </is>
      </c>
    </row>
    <row r="121">
      <c r="A121" s="6" t="inlineStr">
        <is>
          <t>V117</t>
        </is>
      </c>
      <c r="B121" s="6" t="inlineStr">
        <is>
          <t>Static charge</t>
        </is>
      </c>
      <c r="C121" s="6" t="inlineStr">
        <is>
          <t>ESD footwear resistance, low end</t>
        </is>
      </c>
      <c r="D121" s="6" t="inlineStr">
        <is>
          <t>≈ 5 × 10^5</t>
        </is>
      </c>
      <c r="E121" s="6" t="inlineStr">
        <is>
          <t>Ω</t>
        </is>
      </c>
      <c r="F121" s="6" t="inlineStr">
        <is>
          <t>Commercial ESD footwear</t>
        </is>
      </c>
      <c r="G121" s="6" t="inlineStr">
        <is>
          <t>S24</t>
        </is>
      </c>
      <c r="H121" s="6">
        <f>IFERROR(INDEX(Sources!$B:$B,MATCH(G121,Sources!$A:$A,0)),"")</f>
        <v/>
      </c>
      <c r="I121" s="6" t="inlineStr">
        <is>
          <t>Text</t>
        </is>
      </c>
      <c r="J121" s="9" t="inlineStr">
        <is>
          <t>Context only</t>
        </is>
      </c>
      <c r="K121" s="6" t="inlineStr"/>
      <c r="L121" s="6" t="inlineStr"/>
    </row>
    <row r="122">
      <c r="A122" s="6" t="inlineStr">
        <is>
          <t>V118</t>
        </is>
      </c>
      <c r="B122" s="6" t="inlineStr">
        <is>
          <t>Bystander</t>
        </is>
      </c>
      <c r="C122" s="6" t="inlineStr">
        <is>
          <t>Body-to-body capacitance at 1 m (analytic)</t>
        </is>
      </c>
      <c r="D122" s="8" t="n">
        <v>20</v>
      </c>
      <c r="E122" s="6" t="inlineStr">
        <is>
          <t>pF</t>
        </is>
      </c>
      <c r="F122" s="6" t="inlineStr">
        <is>
          <t>Two 1.8 m people</t>
        </is>
      </c>
      <c r="G122" s="6" t="inlineStr">
        <is>
          <t>S12</t>
        </is>
      </c>
      <c r="H122" s="6">
        <f>IFERROR(INDEX(Sources!$B:$B,MATCH(G122,Sources!$A:$A,0)),"")</f>
        <v/>
      </c>
      <c r="I122" s="6" t="inlineStr">
        <is>
          <t>Text</t>
        </is>
      </c>
      <c r="J122" s="12" t="inlineStr">
        <is>
          <t>Fusion study</t>
        </is>
      </c>
      <c r="K122" s="6" t="inlineStr">
        <is>
          <t>Cross-check of FEM 21 pF</t>
        </is>
      </c>
      <c r="L122" s="6" t="inlineStr"/>
    </row>
    <row r="123">
      <c r="A123" s="6" t="inlineStr">
        <is>
          <t>V119</t>
        </is>
      </c>
      <c r="B123" s="6" t="inlineStr">
        <is>
          <t>Passive sensing</t>
        </is>
      </c>
      <c r="C123" s="6" t="inlineStr">
        <is>
          <t>Hum at the controller input, touching vs not touching</t>
        </is>
      </c>
      <c r="D123" s="6" t="inlineStr">
        <is>
          <t>&gt; 4 / &lt; 0.5</t>
        </is>
      </c>
      <c r="E123" s="6" t="inlineStr">
        <is>
          <t>V</t>
        </is>
      </c>
      <c r="F123" s="6" t="inlineStr">
        <is>
          <t>Their sensing circuit, indoor mains field</t>
        </is>
      </c>
      <c r="G123" s="6" t="inlineStr">
        <is>
          <t>S22</t>
        </is>
      </c>
      <c r="H123" s="6">
        <f>IFERROR(INDEX(Sources!$B:$B,MATCH(G123,Sources!$A:$A,0)),"")</f>
        <v/>
      </c>
      <c r="I123" s="6" t="inlineStr">
        <is>
          <t>Results</t>
        </is>
      </c>
      <c r="J123" s="12" t="inlineStr">
        <is>
          <t>Fusion study</t>
        </is>
      </c>
      <c r="K123" s="6" t="inlineStr">
        <is>
          <t>Hum changes with contact: person vs earthed object cue</t>
        </is>
      </c>
      <c r="L123" s="6" t="inlineStr">
        <is>
          <t>Circuit-specific levels</t>
        </is>
      </c>
    </row>
    <row r="124">
      <c r="A124" s="6" t="inlineStr">
        <is>
          <t>V120</t>
        </is>
      </c>
      <c r="B124" s="6" t="inlineStr">
        <is>
          <t>Climate</t>
        </is>
      </c>
      <c r="C124" s="6" t="inlineStr">
        <is>
          <t>Relative humidity at 08:30, Bengaluru</t>
        </is>
      </c>
      <c r="D124" s="6" t="inlineStr">
        <is>
          <t>85 – 89</t>
        </is>
      </c>
      <c r="E124" s="6" t="inlineStr">
        <is>
          <t>%</t>
        </is>
      </c>
      <c r="F124" s="6" t="inlineStr">
        <is>
          <t>Monthly means, GKVK station</t>
        </is>
      </c>
      <c r="G124" s="6" t="inlineStr">
        <is>
          <t>S23</t>
        </is>
      </c>
      <c r="H124" s="6">
        <f>IFERROR(INDEX(Sources!$B:$B,MATCH(G124,Sources!$A:$A,0)),"")</f>
        <v/>
      </c>
      <c r="I124" s="6" t="inlineStr">
        <is>
          <t>Table</t>
        </is>
      </c>
      <c r="J124" s="12" t="inlineStr">
        <is>
          <t>Fusion study</t>
        </is>
      </c>
      <c r="K124" s="6" t="inlineStr">
        <is>
          <t>Humid case</t>
        </is>
      </c>
      <c r="L124" s="6" t="inlineStr"/>
    </row>
    <row r="125">
      <c r="A125" s="6" t="inlineStr">
        <is>
          <t>V121</t>
        </is>
      </c>
      <c r="B125" s="6" t="inlineStr">
        <is>
          <t>Climate</t>
        </is>
      </c>
      <c r="C125" s="6" t="inlineStr">
        <is>
          <t>Relative humidity at 17:30, Bengaluru</t>
        </is>
      </c>
      <c r="D125" s="6" t="inlineStr">
        <is>
          <t>37 – 58</t>
        </is>
      </c>
      <c r="E125" s="6" t="inlineStr">
        <is>
          <t>%</t>
        </is>
      </c>
      <c r="F125" s="6" t="inlineStr">
        <is>
          <t>Monthly means (37 % Mar–Apr, 57–58 % Jul–Aug)</t>
        </is>
      </c>
      <c r="G125" s="6" t="inlineStr">
        <is>
          <t>S23</t>
        </is>
      </c>
      <c r="H125" s="6">
        <f>IFERROR(INDEX(Sources!$B:$B,MATCH(G125,Sources!$A:$A,0)),"")</f>
        <v/>
      </c>
      <c r="I125" s="6" t="inlineStr">
        <is>
          <t>Table</t>
        </is>
      </c>
      <c r="J125" s="12" t="inlineStr">
        <is>
          <t>Fusion study</t>
        </is>
      </c>
      <c r="K125" s="6" t="inlineStr">
        <is>
          <t>Dry and typical cases</t>
        </is>
      </c>
      <c r="L125" s="6" t="inlineStr"/>
    </row>
    <row r="126">
      <c r="A126" s="6" t="inlineStr">
        <is>
          <t>V122</t>
        </is>
      </c>
      <c r="B126" s="6" t="inlineStr">
        <is>
          <t>Climate</t>
        </is>
      </c>
      <c r="C126" s="6" t="inlineStr">
        <is>
          <t>Annual mean relative humidity at 17:30, Bengaluru</t>
        </is>
      </c>
      <c r="D126" s="8" t="n">
        <v>50</v>
      </c>
      <c r="E126" s="6" t="inlineStr">
        <is>
          <t>%</t>
        </is>
      </c>
      <c r="F126" s="6" t="inlineStr">
        <is>
          <t>GKVK station</t>
        </is>
      </c>
      <c r="G126" s="6" t="inlineStr">
        <is>
          <t>S23</t>
        </is>
      </c>
      <c r="H126" s="6">
        <f>IFERROR(INDEX(Sources!$B:$B,MATCH(G126,Sources!$A:$A,0)),"")</f>
        <v/>
      </c>
      <c r="I126" s="6" t="inlineStr">
        <is>
          <t>Table</t>
        </is>
      </c>
      <c r="J126" s="12" t="inlineStr">
        <is>
          <t>Fusion study</t>
        </is>
      </c>
      <c r="K126" s="6" t="inlineStr">
        <is>
          <t>Typical case</t>
        </is>
      </c>
      <c r="L126" s="6" t="inlineStr"/>
    </row>
    <row r="127">
      <c r="A127" s="6" t="inlineStr">
        <is>
          <t>V123</t>
        </is>
      </c>
      <c r="B127" s="6" t="inlineStr">
        <is>
          <t>Passive sensing</t>
        </is>
      </c>
      <c r="C127" s="6" t="inlineStr">
        <is>
          <t>Wrist body-capacitance vs IMU, leg-motion activities (F-score)</t>
        </is>
      </c>
      <c r="D127" s="6" t="inlineStr">
        <is>
          <t>0.89 vs 0.78</t>
        </is>
      </c>
      <c r="E127" s="6" t="inlineStr">
        <is>
          <t>-</t>
        </is>
      </c>
      <c r="F127" s="6" t="inlineStr">
        <is>
          <t>Wrist-worn, leg-dominated activities</t>
        </is>
      </c>
      <c r="G127" s="6" t="inlineStr">
        <is>
          <t>S26</t>
        </is>
      </c>
      <c r="H127" s="6">
        <f>IFERROR(INDEX(Sources!$B:$B,MATCH(G127,Sources!$A:$A,0)),"")</f>
        <v/>
      </c>
      <c r="I127" s="6" t="inlineStr">
        <is>
          <t>Results</t>
        </is>
      </c>
      <c r="J127" s="10" t="inlineStr">
        <is>
          <t>Benchmark only</t>
        </is>
      </c>
      <c r="K127" s="6" t="inlineStr"/>
      <c r="L127" s="6" t="inlineStr"/>
    </row>
    <row r="128">
      <c r="A128" s="6" t="inlineStr">
        <is>
          <t>V124</t>
        </is>
      </c>
      <c r="B128" s="6" t="inlineStr">
        <is>
          <t>Passive sensing</t>
        </is>
      </c>
      <c r="C128" s="6" t="inlineStr">
        <is>
          <t>Gain from adding body capacitance to wrist accelerometer (collaborative activities)</t>
        </is>
      </c>
      <c r="D128" s="6" t="inlineStr">
        <is>
          <t>+16</t>
        </is>
      </c>
      <c r="E128" s="6" t="inlineStr">
        <is>
          <t>% F-score</t>
        </is>
      </c>
      <c r="F128" s="6" t="inlineStr">
        <is>
          <t>Collaborative activity recognition</t>
        </is>
      </c>
      <c r="G128" s="6" t="inlineStr">
        <is>
          <t>S25</t>
        </is>
      </c>
      <c r="H128" s="6">
        <f>IFERROR(INDEX(Sources!$B:$B,MATCH(G128,Sources!$A:$A,0)),"")</f>
        <v/>
      </c>
      <c r="I128" s="6" t="inlineStr">
        <is>
          <t>Results</t>
        </is>
      </c>
      <c r="J128" s="10" t="inlineStr">
        <is>
          <t>Benchmark only</t>
        </is>
      </c>
      <c r="K128" s="6" t="inlineStr"/>
      <c r="L128" s="6" t="inlineStr"/>
    </row>
    <row r="129">
      <c r="A129" s="6" t="inlineStr">
        <is>
          <t>V125</t>
        </is>
      </c>
      <c r="B129" s="6" t="inlineStr">
        <is>
          <t>Motion</t>
        </is>
      </c>
      <c r="C129" s="6" t="inlineStr">
        <is>
          <t>Wrist accelerometer event detection accuracy (gunshot recoil)</t>
        </is>
      </c>
      <c r="D129" s="8" t="n">
        <v>99.40000000000001</v>
      </c>
      <c r="E129" s="6" t="inlineStr">
        <is>
          <t>%</t>
        </is>
      </c>
      <c r="F129" s="6" t="inlineStr">
        <is>
          <t>Hold-out set incl. confusable activities</t>
        </is>
      </c>
      <c r="G129" s="6" t="inlineStr">
        <is>
          <t>S27</t>
        </is>
      </c>
      <c r="H129" s="6">
        <f>IFERROR(INDEX(Sources!$B:$B,MATCH(G129,Sources!$A:$A,0)),"")</f>
        <v/>
      </c>
      <c r="I129" s="6" t="inlineStr">
        <is>
          <t>Results</t>
        </is>
      </c>
      <c r="J129" s="10" t="inlineStr">
        <is>
          <t>Benchmark only</t>
        </is>
      </c>
      <c r="K129" s="6" t="inlineStr">
        <is>
          <t>Wrist IMU can separate sharp events</t>
        </is>
      </c>
      <c r="L129" s="6" t="inlineStr">
        <is>
          <t>Lab conditions</t>
        </is>
      </c>
    </row>
    <row r="130">
      <c r="A130" s="6" t="inlineStr">
        <is>
          <t>V126</t>
        </is>
      </c>
      <c r="B130" s="6" t="inlineStr">
        <is>
          <t>Physiology</t>
        </is>
      </c>
      <c r="C130" s="6" t="inlineStr">
        <is>
          <t>Wrist-only stress detection, balanced accuracy</t>
        </is>
      </c>
      <c r="D130" s="8" t="n">
        <v>87.40000000000001</v>
      </c>
      <c r="E130" s="6" t="inlineStr">
        <is>
          <t>%</t>
        </is>
      </c>
      <c r="F130" s="6" t="inlineStr">
        <is>
          <t>Empatica E4, WESAD, LDA</t>
        </is>
      </c>
      <c r="G130" s="6" t="inlineStr">
        <is>
          <t>S28</t>
        </is>
      </c>
      <c r="H130" s="6">
        <f>IFERROR(INDEX(Sources!$B:$B,MATCH(G130,Sources!$A:$A,0)),"")</f>
        <v/>
      </c>
      <c r="I130" s="6" t="inlineStr">
        <is>
          <t>Results</t>
        </is>
      </c>
      <c r="J130" s="10" t="inlineStr">
        <is>
          <t>Benchmark only</t>
        </is>
      </c>
      <c r="K130" s="6" t="inlineStr"/>
      <c r="L130" s="6" t="inlineStr"/>
    </row>
    <row r="131">
      <c r="A131" s="6" t="inlineStr">
        <is>
          <t>V127</t>
        </is>
      </c>
      <c r="B131" s="6" t="inlineStr">
        <is>
          <t>Physiology</t>
        </is>
      </c>
      <c r="C131" s="6" t="inlineStr">
        <is>
          <t>Stress vs non-stress accuracy (best, chest device)</t>
        </is>
      </c>
      <c r="D131" s="8" t="n">
        <v>93</v>
      </c>
      <c r="E131" s="6" t="inlineStr">
        <is>
          <t>%</t>
        </is>
      </c>
      <c r="F131" s="6" t="inlineStr">
        <is>
          <t>WESAD</t>
        </is>
      </c>
      <c r="G131" s="6" t="inlineStr">
        <is>
          <t>S29</t>
        </is>
      </c>
      <c r="H131" s="6">
        <f>IFERROR(INDEX(Sources!$B:$B,MATCH(G131,Sources!$A:$A,0)),"")</f>
        <v/>
      </c>
      <c r="I131" s="6" t="inlineStr">
        <is>
          <t>Abstract</t>
        </is>
      </c>
      <c r="J131" s="10" t="inlineStr">
        <is>
          <t>Benchmark only</t>
        </is>
      </c>
      <c r="K131" s="6" t="inlineStr"/>
      <c r="L131" s="6" t="inlineStr">
        <is>
          <t>Chest, not wrist</t>
        </is>
      </c>
    </row>
    <row r="132">
      <c r="A132" s="6" t="inlineStr">
        <is>
          <t>V128</t>
        </is>
      </c>
      <c r="B132" s="6" t="inlineStr">
        <is>
          <t>Audio</t>
        </is>
      </c>
      <c r="C132" s="6" t="inlineStr">
        <is>
          <t>Scream stage false alarm rate, before / after context filter</t>
        </is>
      </c>
      <c r="D132" s="6" t="inlineStr">
        <is>
          <t>≈ 10 / ≈ 1</t>
        </is>
      </c>
      <c r="E132" s="6" t="inlineStr">
        <is>
          <t>%</t>
        </is>
      </c>
      <c r="F132" s="6" t="inlineStr">
        <is>
          <t>Smartphone, daily audio</t>
        </is>
      </c>
      <c r="G132" s="6" t="inlineStr">
        <is>
          <t>S30</t>
        </is>
      </c>
      <c r="H132" s="6">
        <f>IFERROR(INDEX(Sources!$B:$B,MATCH(G132,Sources!$A:$A,0)),"")</f>
        <v/>
      </c>
      <c r="I132" s="6" t="inlineStr">
        <is>
          <t>Results</t>
        </is>
      </c>
      <c r="J132" s="10" t="inlineStr">
        <is>
          <t>Benchmark only</t>
        </is>
      </c>
      <c r="K132" s="6" t="inlineStr"/>
      <c r="L132" s="6" t="inlineStr">
        <is>
          <t>1 % ≈ 15 min of false alarms per day</t>
        </is>
      </c>
    </row>
    <row r="133">
      <c r="A133" s="6" t="inlineStr">
        <is>
          <t>V129</t>
        </is>
      </c>
      <c r="B133" s="6" t="inlineStr">
        <is>
          <t>Motion</t>
        </is>
      </c>
      <c r="C133" s="6" t="inlineStr">
        <is>
          <t>Acceptable false-alarm budget for wrist detectors</t>
        </is>
      </c>
      <c r="D133" s="6" t="inlineStr">
        <is>
          <t>≈ 1</t>
        </is>
      </c>
      <c r="E133" s="6" t="inlineStr">
        <is>
          <t>per user per day</t>
        </is>
      </c>
      <c r="F133" s="6" t="inlineStr">
        <is>
          <t>Stated as technically reasonable; many users find it too many</t>
        </is>
      </c>
      <c r="G133" s="6" t="inlineStr">
        <is>
          <t>S31</t>
        </is>
      </c>
      <c r="H133" s="6">
        <f>IFERROR(INDEX(Sources!$B:$B,MATCH(G133,Sources!$A:$A,0)),"")</f>
        <v/>
      </c>
      <c r="I133" s="6" t="inlineStr">
        <is>
          <t>Background</t>
        </is>
      </c>
      <c r="J133" s="10" t="inlineStr">
        <is>
          <t>Benchmark only</t>
        </is>
      </c>
      <c r="K133" s="6" t="inlineStr">
        <is>
          <t>Target for fused alerts</t>
        </is>
      </c>
      <c r="L133" s="6" t="inlineStr">
        <is>
          <t>Patent text</t>
        </is>
      </c>
    </row>
  </sheetData>
  <autoFilter ref="A4:L133"/>
  <dataValidations count="1">
    <dataValidation sqref="J5:J333" showDropDown="0" showInputMessage="0" showErrorMessage="0" allowBlank="1" type="list">
      <formula1>"In model v0.3,Pending integration,Benchmark only,Context only"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30" customWidth="1" min="3" max="3"/>
    <col width="52" customWidth="1" min="4" max="4"/>
    <col width="30" customWidth="1" min="5" max="5"/>
    <col width="7" customWidth="1" min="6" max="6"/>
    <col width="20" customWidth="1" min="7" max="7"/>
    <col width="10" customWidth="1" min="8" max="8"/>
    <col width="40" customWidth="1" min="9" max="9"/>
    <col width="11" customWidth="1" min="10" max="10"/>
    <col width="34" customWidth="1" min="11" max="11"/>
    <col width="9" customWidth="1" min="12" max="12"/>
  </cols>
  <sheetData>
    <row r="1">
      <c r="A1" s="1" t="inlineStr">
        <is>
          <t>Sources</t>
        </is>
      </c>
    </row>
    <row r="2">
      <c r="A2" s="4" t="inlineStr">
        <is>
          <t>Full reference for every source ID used in this workbook and in sg_model.py.</t>
        </is>
      </c>
    </row>
    <row r="3" ht="30" customHeight="1">
      <c r="A3" s="5" t="inlineStr">
        <is>
          <t>Source ID</t>
        </is>
      </c>
      <c r="B3" s="5" t="inlineStr">
        <is>
          <t>Short name</t>
        </is>
      </c>
      <c r="C3" s="5" t="inlineStr">
        <is>
          <t>Authors</t>
        </is>
      </c>
      <c r="D3" s="5" t="inlineStr">
        <is>
          <t>Title</t>
        </is>
      </c>
      <c r="E3" s="5" t="inlineStr">
        <is>
          <t>Venue</t>
        </is>
      </c>
      <c r="F3" s="5" t="inlineStr">
        <is>
          <t>Year</t>
        </is>
      </c>
      <c r="G3" s="5" t="inlineStr">
        <is>
          <t>Type</t>
        </is>
      </c>
      <c r="H3" s="5" t="inlineStr">
        <is>
          <t>Proposal ref</t>
        </is>
      </c>
      <c r="I3" s="5" t="inlineStr">
        <is>
          <t>Link</t>
        </is>
      </c>
      <c r="J3" s="5" t="inlineStr">
        <is>
          <t>Accessed</t>
        </is>
      </c>
      <c r="K3" s="5" t="inlineStr">
        <is>
          <t>Notes</t>
        </is>
      </c>
      <c r="L3" s="5" t="inlineStr">
        <is>
          <t>Values logged</t>
        </is>
      </c>
    </row>
    <row r="4">
      <c r="A4" s="6" t="inlineStr">
        <is>
          <t>S1</t>
        </is>
      </c>
      <c r="B4" s="6" t="inlineStr">
        <is>
          <t>Sato et al. 2012 (Touché)</t>
        </is>
      </c>
      <c r="C4" s="6" t="inlineStr">
        <is>
          <t>M. Sato, I. Poupyrev, C. Harrison</t>
        </is>
      </c>
      <c r="D4" s="6" t="inlineStr">
        <is>
          <t>Touché: Enhancing Touch Interaction on Humans, Screens, Liquids, and Everyday Objects</t>
        </is>
      </c>
      <c r="E4" s="6" t="inlineStr">
        <is>
          <t>Proc. ACM CHI 2012</t>
        </is>
      </c>
      <c r="F4" s="6" t="n">
        <v>2012</v>
      </c>
      <c r="G4" s="6" t="inlineStr">
        <is>
          <t>Peer-reviewed conference</t>
        </is>
      </c>
      <c r="H4" s="6" t="inlineStr">
        <is>
          <t>Ref 5</t>
        </is>
      </c>
      <c r="I4" s="13" t="inlineStr">
        <is>
          <t>https://la.disneyresearch.com/wp-content/uploads/touchechi20121.pdf</t>
        </is>
      </c>
      <c r="J4" s="6" t="inlineStr">
        <is>
          <t>2026-10-11</t>
        </is>
      </c>
      <c r="K4" s="6" t="inlineStr">
        <is>
          <t>Core method of the proposal</t>
        </is>
      </c>
      <c r="L4" s="6">
        <f>COUNTIF('Values from Papers'!$G:$G,A4)</f>
        <v/>
      </c>
    </row>
    <row r="5">
      <c r="A5" s="6" t="inlineStr">
        <is>
          <t>S2</t>
        </is>
      </c>
      <c r="B5" s="6" t="inlineStr">
        <is>
          <t>Harrison et al. 2012 (Cap. Fingerprinting)</t>
        </is>
      </c>
      <c r="C5" s="6" t="inlineStr">
        <is>
          <t>C. Harrison, M. Sato, I. Poupyrev</t>
        </is>
      </c>
      <c r="D5" s="6" t="inlineStr">
        <is>
          <t>Capacitive Fingerprinting: Exploring User Differentiation by Sensing Electrical Properties of the Human Body</t>
        </is>
      </c>
      <c r="E5" s="6" t="inlineStr">
        <is>
          <t>Proc. ACM UIST 2012</t>
        </is>
      </c>
      <c r="F5" s="6" t="n">
        <v>2012</v>
      </c>
      <c r="G5" s="6" t="inlineStr">
        <is>
          <t>Peer-reviewed conference</t>
        </is>
      </c>
      <c r="H5" s="6" t="inlineStr">
        <is>
          <t>Ref 6</t>
        </is>
      </c>
      <c r="I5" s="13" t="inlineStr">
        <is>
          <t>https://la.disneyresearch.com/wp-content/uploads/capacitive-fingerprintingcameraready1.pdf</t>
        </is>
      </c>
      <c r="J5" s="6" t="inlineStr">
        <is>
          <t>2026-10-11</t>
        </is>
      </c>
      <c r="K5" s="6" t="inlineStr"/>
      <c r="L5" s="6">
        <f>COUNTIF('Values from Papers'!$G:$G,A5)</f>
        <v/>
      </c>
    </row>
    <row r="6">
      <c r="A6" s="6" t="inlineStr">
        <is>
          <t>S3</t>
        </is>
      </c>
      <c r="B6" s="6" t="inlineStr">
        <is>
          <t>Honigman et al. 2014 (Arduino Touché)</t>
        </is>
      </c>
      <c r="C6" s="6" t="inlineStr">
        <is>
          <t>N. Honigman et al.</t>
        </is>
      </c>
      <c r="D6" s="6" t="inlineStr">
        <is>
          <t>Techniques in Swept Frequency Capacitive Sensing: An Open Source Approach</t>
        </is>
      </c>
      <c r="E6" s="6" t="inlineStr">
        <is>
          <t>Proc. NIME 2014</t>
        </is>
      </c>
      <c r="F6" s="6" t="n">
        <v>2014</v>
      </c>
      <c r="G6" s="6" t="inlineStr">
        <is>
          <t>Peer-reviewed conference</t>
        </is>
      </c>
      <c r="H6" s="6" t="inlineStr">
        <is>
          <t>-</t>
        </is>
      </c>
      <c r="I6" s="13" t="inlineStr">
        <is>
          <t>https://nime.org/proceedings/2014/nime2014_515.pdf</t>
        </is>
      </c>
      <c r="J6" s="6" t="inlineStr">
        <is>
          <t>2026-10-11</t>
        </is>
      </c>
      <c r="K6" s="6" t="inlineStr">
        <is>
          <t>Arduino Touché circuit; component list also at https://github.com/sofian/touche</t>
        </is>
      </c>
      <c r="L6" s="6">
        <f>COUNTIF('Values from Papers'!$G:$G,A6)</f>
        <v/>
      </c>
    </row>
    <row r="7">
      <c r="A7" s="6" t="inlineStr">
        <is>
          <t>S4</t>
        </is>
      </c>
      <c r="B7" s="6" t="inlineStr">
        <is>
          <t>Jonassen 1998</t>
        </is>
      </c>
      <c r="C7" s="6" t="inlineStr">
        <is>
          <t>N. M. Jonassen</t>
        </is>
      </c>
      <c r="D7" s="6" t="inlineStr">
        <is>
          <t>Human Body Capacitance: Static or Dynamic Concept?</t>
        </is>
      </c>
      <c r="E7" s="6" t="inlineStr">
        <is>
          <t>EOS/ESD Symposium Proceedings, pp. 111-117</t>
        </is>
      </c>
      <c r="F7" s="6" t="n">
        <v>1998</v>
      </c>
      <c r="G7" s="6" t="inlineStr">
        <is>
          <t>Peer-reviewed conference</t>
        </is>
      </c>
      <c r="H7" s="6" t="inlineStr">
        <is>
          <t>-</t>
        </is>
      </c>
      <c r="I7" s="13" t="inlineStr">
        <is>
          <t>https://backend.orbit.dtu.dk/ws/files/4363898/Jonassen.pdf</t>
        </is>
      </c>
      <c r="J7" s="6" t="inlineStr">
        <is>
          <t>2026-10-11</t>
        </is>
      </c>
      <c r="K7" s="6" t="inlineStr">
        <is>
          <t>Scanned text; some table cells hard to read</t>
        </is>
      </c>
      <c r="L7" s="6">
        <f>COUNTIF('Values from Papers'!$G:$G,A7)</f>
        <v/>
      </c>
    </row>
    <row r="8">
      <c r="A8" s="6" t="inlineStr">
        <is>
          <t>S5</t>
        </is>
      </c>
      <c r="B8" s="6" t="inlineStr">
        <is>
          <t>Maity et al. 2019</t>
        </is>
      </c>
      <c r="C8" s="6" t="inlineStr">
        <is>
          <t>S. Maity, M. He, M. Nath, D. Das, B. Chatterjee, S. Sen</t>
        </is>
      </c>
      <c r="D8" s="6" t="inlineStr">
        <is>
          <t>Bio-Physical Modeling, Characterization and Optimization of Electro-Quasistatic Human Body Communication</t>
        </is>
      </c>
      <c r="E8" s="6" t="inlineStr">
        <is>
          <t>IEEE Transactions on Biomedical Engineering</t>
        </is>
      </c>
      <c r="F8" s="6" t="n">
        <v>2019</v>
      </c>
      <c r="G8" s="6" t="inlineStr">
        <is>
          <t>Peer-reviewed journal</t>
        </is>
      </c>
      <c r="H8" s="6" t="inlineStr">
        <is>
          <t>-</t>
        </is>
      </c>
      <c r="I8" s="13" t="inlineStr">
        <is>
          <t>https://arxiv.org/pdf/1805.05200.pdf</t>
        </is>
      </c>
      <c r="J8" s="6" t="inlineStr">
        <is>
          <t>2026-10-11</t>
        </is>
      </c>
      <c r="K8" s="6" t="inlineStr">
        <is>
          <t>arXiv version read</t>
        </is>
      </c>
      <c r="L8" s="6">
        <f>COUNTIF('Values from Papers'!$G:$G,A8)</f>
        <v/>
      </c>
    </row>
    <row r="9">
      <c r="A9" s="6" t="inlineStr">
        <is>
          <t>S6</t>
        </is>
      </c>
      <c r="B9" s="6" t="inlineStr">
        <is>
          <t>Martinsen et al. 1997</t>
        </is>
      </c>
      <c r="C9" s="6" t="inlineStr">
        <is>
          <t>Ø. G. Martinsen, S. Grimnes, O. Sveen</t>
        </is>
      </c>
      <c r="D9" s="6" t="inlineStr">
        <is>
          <t>Dielectric properties of some keratinised tissues. Part 1: Stratum corneum and nail in situ</t>
        </is>
      </c>
      <c r="E9" s="6" t="inlineStr">
        <is>
          <t>Medical &amp; Biological Engineering &amp; Computing 35, 172-176</t>
        </is>
      </c>
      <c r="F9" s="6" t="n">
        <v>1997</v>
      </c>
      <c r="G9" s="6" t="inlineStr">
        <is>
          <t>Peer-reviewed journal</t>
        </is>
      </c>
      <c r="H9" s="6" t="inlineStr">
        <is>
          <t>-</t>
        </is>
      </c>
      <c r="I9" s="13" t="inlineStr">
        <is>
          <t>https://mn.uio.no/fysikk/english/research/projects/bioimpedance/publications/papers/blemme.pdf</t>
        </is>
      </c>
      <c r="J9" s="6" t="inlineStr">
        <is>
          <t>2026-10-11</t>
        </is>
      </c>
      <c r="K9" s="6" t="inlineStr"/>
      <c r="L9" s="6">
        <f>COUNTIF('Values from Papers'!$G:$G,A9)</f>
        <v/>
      </c>
    </row>
    <row r="10">
      <c r="A10" s="6" t="inlineStr">
        <is>
          <t>S7</t>
        </is>
      </c>
      <c r="B10" s="6" t="inlineStr">
        <is>
          <t>Ng &amp; Reaz 2017</t>
        </is>
      </c>
      <c r="C10" s="6" t="inlineStr">
        <is>
          <t>C. L. Ng, M. B. I. Reaz</t>
        </is>
      </c>
      <c r="D10" s="6" t="inlineStr">
        <is>
          <t>Characterization of Textile-Insulated Capacitive Biosensors</t>
        </is>
      </c>
      <c r="E10" s="6" t="inlineStr">
        <is>
          <t>Sensors 17(3), 574</t>
        </is>
      </c>
      <c r="F10" s="6" t="n">
        <v>2017</v>
      </c>
      <c r="G10" s="6" t="inlineStr">
        <is>
          <t>Peer-reviewed journal</t>
        </is>
      </c>
      <c r="H10" s="6" t="inlineStr">
        <is>
          <t>-</t>
        </is>
      </c>
      <c r="I10" s="13" t="inlineStr">
        <is>
          <t>https://doi.org/10.3390/s17030574</t>
        </is>
      </c>
      <c r="J10" s="6" t="inlineStr">
        <is>
          <t>2026-10-11</t>
        </is>
      </c>
      <c r="K10" s="6" t="inlineStr"/>
      <c r="L10" s="6">
        <f>COUNTIF('Values from Papers'!$G:$G,A10)</f>
        <v/>
      </c>
    </row>
    <row r="11">
      <c r="A11" s="6" t="inlineStr">
        <is>
          <t>S8</t>
        </is>
      </c>
      <c r="B11" s="6" t="inlineStr">
        <is>
          <t>Avlani et al. 2020</t>
        </is>
      </c>
      <c r="C11" s="6" t="inlineStr">
        <is>
          <t>S. Avlani, M. Nath, S. Maity, S. Sen</t>
        </is>
      </c>
      <c r="D11" s="6" t="inlineStr">
        <is>
          <t>A 100KHz-1GHz Termination-dependent Human Body Communication Channel Measurement using Miniaturized Wearable Devices</t>
        </is>
      </c>
      <c r="E11" s="6" t="inlineStr">
        <is>
          <t>Proc. DATE 2020, pp. 651-653</t>
        </is>
      </c>
      <c r="F11" s="6" t="n">
        <v>2020</v>
      </c>
      <c r="G11" s="6" t="inlineStr">
        <is>
          <t>Peer-reviewed conference</t>
        </is>
      </c>
      <c r="H11" s="6" t="inlineStr">
        <is>
          <t>-</t>
        </is>
      </c>
      <c r="I11" s="13" t="inlineStr">
        <is>
          <t>https://par.nsf.gov/servlets/purl/10249175</t>
        </is>
      </c>
      <c r="J11" s="6" t="inlineStr">
        <is>
          <t>2026-10-11</t>
        </is>
      </c>
      <c r="K11" s="6" t="inlineStr"/>
      <c r="L11" s="6">
        <f>COUNTIF('Values from Papers'!$G:$G,A11)</f>
        <v/>
      </c>
    </row>
    <row r="12">
      <c r="A12" s="6" t="inlineStr">
        <is>
          <t>S9</t>
        </is>
      </c>
      <c r="B12" s="6" t="inlineStr">
        <is>
          <t>Capacitive sensing survey 2024</t>
        </is>
      </c>
      <c r="C12" s="6" t="inlineStr">
        <is>
          <t>(survey)</t>
        </is>
      </c>
      <c r="D12" s="6" t="inlineStr">
        <is>
          <t>Body-Area Capacitive or Electric Field Sensing for Human Activity Recognition and Human-Computer Interaction: A Comprehensive Survey</t>
        </is>
      </c>
      <c r="E12" s="6" t="inlineStr">
        <is>
          <t>arXiv:2401.06000</t>
        </is>
      </c>
      <c r="F12" s="6" t="n">
        <v>2024</v>
      </c>
      <c r="G12" s="6" t="inlineStr">
        <is>
          <t>Preprint (survey)</t>
        </is>
      </c>
      <c r="H12" s="6" t="inlineStr">
        <is>
          <t>-</t>
        </is>
      </c>
      <c r="I12" s="13" t="inlineStr">
        <is>
          <t>https://arxiv.org/abs/2401.06000</t>
        </is>
      </c>
      <c r="J12" s="6" t="inlineStr">
        <is>
          <t>2026-10-11</t>
        </is>
      </c>
      <c r="K12" s="6" t="inlineStr">
        <is>
          <t>Authors not recorded in this log</t>
        </is>
      </c>
      <c r="L12" s="6">
        <f>COUNTIF('Values from Papers'!$G:$G,A12)</f>
        <v/>
      </c>
    </row>
    <row r="13">
      <c r="A13" s="6" t="inlineStr">
        <is>
          <t>S10</t>
        </is>
      </c>
      <c r="B13" s="6" t="inlineStr">
        <is>
          <t>Goyal et al. 2022</t>
        </is>
      </c>
      <c r="C13" s="6" t="inlineStr">
        <is>
          <t>K. Goyal, D. A. Borkholder, S. W. Day</t>
        </is>
      </c>
      <c r="D13" s="6" t="inlineStr">
        <is>
          <t>Dependence of Skin-Electrode Contact Impedance on Material and Skin Hydration</t>
        </is>
      </c>
      <c r="E13" s="6" t="inlineStr">
        <is>
          <t>Sensors 22(21), 8510</t>
        </is>
      </c>
      <c r="F13" s="6" t="n">
        <v>2022</v>
      </c>
      <c r="G13" s="6" t="inlineStr">
        <is>
          <t>Peer-reviewed journal</t>
        </is>
      </c>
      <c r="H13" s="6" t="inlineStr">
        <is>
          <t>-</t>
        </is>
      </c>
      <c r="I13" s="13" t="inlineStr">
        <is>
          <t>https://www.mdpi.com/1424-8220/22/21/8510</t>
        </is>
      </c>
      <c r="J13" s="6" t="inlineStr">
        <is>
          <t>2026-10-11</t>
        </is>
      </c>
      <c r="K13" s="6" t="inlineStr">
        <is>
          <t>PMC9656728</t>
        </is>
      </c>
      <c r="L13" s="6">
        <f>COUNTIF('Values from Papers'!$G:$G,A13)</f>
        <v/>
      </c>
    </row>
    <row r="14">
      <c r="A14" s="6" t="inlineStr">
        <is>
          <t>S11</t>
        </is>
      </c>
      <c r="B14" s="6" t="inlineStr">
        <is>
          <t>Datta et al. 2020</t>
        </is>
      </c>
      <c r="C14" s="6" t="inlineStr">
        <is>
          <t>A. Datta, M. Nath, D. Yang, S. Sen</t>
        </is>
      </c>
      <c r="D14" s="6" t="inlineStr">
        <is>
          <t>Advanced Biophysical Model to Capture Channel Variability for EQS Capacitive HBC</t>
        </is>
      </c>
      <c r="E14" s="6" t="inlineStr">
        <is>
          <t>arXiv:2010.15339</t>
        </is>
      </c>
      <c r="F14" s="6" t="n">
        <v>2020</v>
      </c>
      <c r="G14" s="6" t="inlineStr">
        <is>
          <t>Preprint</t>
        </is>
      </c>
      <c r="H14" s="6" t="inlineStr">
        <is>
          <t>-</t>
        </is>
      </c>
      <c r="I14" s="13" t="inlineStr">
        <is>
          <t>https://arxiv.org/pdf/2010.15339</t>
        </is>
      </c>
      <c r="J14" s="6" t="inlineStr">
        <is>
          <t>2026-10-11</t>
        </is>
      </c>
      <c r="K14" s="6" t="inlineStr"/>
      <c r="L14" s="6">
        <f>COUNTIF('Values from Papers'!$G:$G,A14)</f>
        <v/>
      </c>
    </row>
    <row r="15">
      <c r="A15" s="6" t="inlineStr">
        <is>
          <t>S12</t>
        </is>
      </c>
      <c r="B15" s="6" t="inlineStr">
        <is>
          <t>Nath et al. 2021</t>
        </is>
      </c>
      <c r="C15" s="6" t="inlineStr">
        <is>
          <t>M. Nath et al. (S. Sen group, Purdue)</t>
        </is>
      </c>
      <c r="D15" s="6" t="inlineStr">
        <is>
          <t>Inter-Body Coupling in Electro-Quasistatic Human Body Communication: Theory and Analysis of Security and Interference Properties</t>
        </is>
      </c>
      <c r="E15" s="6" t="inlineStr">
        <is>
          <t>Scientific Reports</t>
        </is>
      </c>
      <c r="F15" s="6" t="n">
        <v>2021</v>
      </c>
      <c r="G15" s="6" t="inlineStr">
        <is>
          <t>Peer-reviewed journal</t>
        </is>
      </c>
      <c r="H15" s="6" t="inlineStr">
        <is>
          <t>-</t>
        </is>
      </c>
      <c r="I15" s="13" t="inlineStr">
        <is>
          <t>https://arxiv.org/pdf/2003.13329</t>
        </is>
      </c>
      <c r="J15" s="6" t="inlineStr">
        <is>
          <t>2026-10-11</t>
        </is>
      </c>
      <c r="K15" s="6" t="inlineStr">
        <is>
          <t>arXiv version read; full author list not recorded</t>
        </is>
      </c>
      <c r="L15" s="6">
        <f>COUNTIF('Values from Papers'!$G:$G,A15)</f>
        <v/>
      </c>
    </row>
    <row r="16">
      <c r="A16" s="6" t="inlineStr">
        <is>
          <t>S13</t>
        </is>
      </c>
      <c r="B16" s="6" t="inlineStr">
        <is>
          <t>Agarwal &amp; Sahu 2010</t>
        </is>
      </c>
      <c r="C16" s="6" t="inlineStr">
        <is>
          <t>P. Agarwal, S. Sahu</t>
        </is>
      </c>
      <c r="D16" s="6" t="inlineStr">
        <is>
          <t>Determination of hand and palm area as a ratio of body surface area in Indian population</t>
        </is>
      </c>
      <c r="E16" s="6" t="inlineStr">
        <is>
          <t>Indian Journal of Plastic Surgery 43(1)</t>
        </is>
      </c>
      <c r="F16" s="6" t="n">
        <v>2010</v>
      </c>
      <c r="G16" s="6" t="inlineStr">
        <is>
          <t>Peer-reviewed journal</t>
        </is>
      </c>
      <c r="H16" s="6" t="inlineStr">
        <is>
          <t>-</t>
        </is>
      </c>
      <c r="I16" s="13" t="inlineStr">
        <is>
          <t>https://www.thieme-connect.de/products/ejournals/pdf/10.1055/s-0039-1699403.pdf</t>
        </is>
      </c>
      <c r="J16" s="6" t="inlineStr">
        <is>
          <t>2026-10-11</t>
        </is>
      </c>
      <c r="K16" s="6" t="inlineStr"/>
      <c r="L16" s="6">
        <f>COUNTIF('Values from Papers'!$G:$G,A16)</f>
        <v/>
      </c>
    </row>
    <row r="17">
      <c r="A17" s="6" t="inlineStr">
        <is>
          <t>S14</t>
        </is>
      </c>
      <c r="B17" s="6" t="inlineStr">
        <is>
          <t>TI SNOA926 2015</t>
        </is>
      </c>
      <c r="C17" s="6" t="inlineStr">
        <is>
          <t>Texas Instruments</t>
        </is>
      </c>
      <c r="D17" s="6" t="inlineStr">
        <is>
          <t>Capacitive Sensing: Ins and Outs of Active Shielding (SNOA926A)</t>
        </is>
      </c>
      <c r="E17" s="6" t="inlineStr">
        <is>
          <t>Application report</t>
        </is>
      </c>
      <c r="F17" s="6" t="n">
        <v>2015</v>
      </c>
      <c r="G17" s="6" t="inlineStr">
        <is>
          <t>Manufacturer app note</t>
        </is>
      </c>
      <c r="H17" s="6" t="inlineStr">
        <is>
          <t>-</t>
        </is>
      </c>
      <c r="I17" s="13" t="inlineStr">
        <is>
          <t>https://www.ti.com/lit/pdf/SNOA926</t>
        </is>
      </c>
      <c r="J17" s="6" t="inlineStr">
        <is>
          <t>2026-10-11</t>
        </is>
      </c>
      <c r="K17" s="6" t="inlineStr">
        <is>
          <t>Table 1 headers misaligned in source; reference column inferred</t>
        </is>
      </c>
      <c r="L17" s="6">
        <f>COUNTIF('Values from Papers'!$G:$G,A17)</f>
        <v/>
      </c>
    </row>
    <row r="18">
      <c r="A18" s="6" t="inlineStr">
        <is>
          <t>S15</t>
        </is>
      </c>
      <c r="B18" s="6" t="inlineStr">
        <is>
          <t>Hackaday ADC test</t>
        </is>
      </c>
      <c r="C18" s="6" t="inlineStr">
        <is>
          <t>Hackaday.io project</t>
        </is>
      </c>
      <c r="D18" s="6" t="inlineStr">
        <is>
          <t>ADC performance: Arduino vs ESP32 vs ADS1115</t>
        </is>
      </c>
      <c r="E18" s="6" t="inlineStr">
        <is>
          <t>Hackaday.io</t>
        </is>
      </c>
      <c r="F18" s="6" t="inlineStr">
        <is>
          <t>n.d.</t>
        </is>
      </c>
      <c r="G18" s="6" t="inlineStr">
        <is>
          <t>Hobby measurement (weak)</t>
        </is>
      </c>
      <c r="H18" s="6" t="inlineStr">
        <is>
          <t>-</t>
        </is>
      </c>
      <c r="I18" s="13" t="inlineStr">
        <is>
          <t>https://hackaday.io/project/205380-adc-performance-arduino-vs-esp32-vs-ads1115</t>
        </is>
      </c>
      <c r="J18" s="6" t="inlineStr">
        <is>
          <t>2026-10-11</t>
        </is>
      </c>
      <c r="K18" s="6" t="inlineStr">
        <is>
          <t>Doesn't state whether figures are std. dev. or peak-to-peak</t>
        </is>
      </c>
      <c r="L18" s="6">
        <f>COUNTIF('Values from Papers'!$G:$G,A18)</f>
        <v/>
      </c>
    </row>
    <row r="19">
      <c r="A19" s="6" t="inlineStr">
        <is>
          <t>S16</t>
        </is>
      </c>
      <c r="B19" s="6" t="inlineStr">
        <is>
          <t>Espressif ADC blog 2025</t>
        </is>
      </c>
      <c r="C19" s="6" t="inlineStr">
        <is>
          <t>Espressif Systems</t>
        </is>
      </c>
      <c r="D19" s="6" t="inlineStr">
        <is>
          <t>ADC performance (developer blog)</t>
        </is>
      </c>
      <c r="E19" s="6" t="inlineStr">
        <is>
          <t>developer.espressif.com</t>
        </is>
      </c>
      <c r="F19" s="6" t="n">
        <v>2025</v>
      </c>
      <c r="G19" s="6" t="inlineStr">
        <is>
          <t>Manufacturer documentation</t>
        </is>
      </c>
      <c r="H19" s="6" t="inlineStr">
        <is>
          <t>-</t>
        </is>
      </c>
      <c r="I19" s="13" t="inlineStr">
        <is>
          <t>https://developer.espressif.com/blog/2025/08/adc-performance/</t>
        </is>
      </c>
      <c r="J19" s="6" t="inlineStr">
        <is>
          <t>2026-10-11</t>
        </is>
      </c>
      <c r="K19" s="6" t="inlineStr"/>
      <c r="L19" s="6">
        <f>COUNTIF('Values from Papers'!$G:$G,A19)</f>
        <v/>
      </c>
    </row>
    <row r="20">
      <c r="A20" s="6" t="inlineStr">
        <is>
          <t>S17</t>
        </is>
      </c>
      <c r="B20" s="6" t="inlineStr">
        <is>
          <t>Desco ESD table</t>
        </is>
      </c>
      <c r="C20" s="6" t="inlineStr">
        <is>
          <t>Desco Industries</t>
        </is>
      </c>
      <c r="D20" s="6" t="inlineStr">
        <is>
          <t>Typical Electrostatic Voltages</t>
        </is>
      </c>
      <c r="E20" s="6" t="inlineStr">
        <is>
          <t>descoindustries.com</t>
        </is>
      </c>
      <c r="F20" s="6" t="inlineStr">
        <is>
          <t>n.d.</t>
        </is>
      </c>
      <c r="G20" s="6" t="inlineStr">
        <is>
          <t>Manufacturer reference table</t>
        </is>
      </c>
      <c r="H20" s="6" t="inlineStr">
        <is>
          <t>-</t>
        </is>
      </c>
      <c r="I20" s="13" t="inlineStr">
        <is>
          <t>https://www.descoindustries.com/AboutESD/Voltage.aspx</t>
        </is>
      </c>
      <c r="J20" s="6" t="inlineStr">
        <is>
          <t>2026-10-11</t>
        </is>
      </c>
      <c r="K20" s="6" t="inlineStr">
        <is>
          <t>Ranges at 10-20% vs 65-90% relative humidity</t>
        </is>
      </c>
      <c r="L20" s="6">
        <f>COUNTIF('Values from Papers'!$G:$G,A20)</f>
        <v/>
      </c>
    </row>
    <row r="21">
      <c r="A21" s="6" t="inlineStr">
        <is>
          <t>S18</t>
        </is>
      </c>
      <c r="B21" s="6" t="inlineStr">
        <is>
          <t>Jonassen (walking)</t>
        </is>
      </c>
      <c r="C21" s="6" t="inlineStr">
        <is>
          <t>N. Jonassen</t>
        </is>
      </c>
      <c r="D21" s="6" t="inlineStr">
        <is>
          <t>Charging by Walking (Mr. Static column)</t>
        </is>
      </c>
      <c r="E21" s="6" t="inlineStr">
        <is>
          <t>In Compliance Magazine</t>
        </is>
      </c>
      <c r="F21" s="6" t="inlineStr">
        <is>
          <t>n.d.</t>
        </is>
      </c>
      <c r="G21" s="6" t="inlineStr">
        <is>
          <t>Magazine article by researcher</t>
        </is>
      </c>
      <c r="H21" s="6" t="inlineStr">
        <is>
          <t>-</t>
        </is>
      </c>
      <c r="I21" s="13" t="inlineStr">
        <is>
          <t>https://incompliancemag.com/charging-by-walking/</t>
        </is>
      </c>
      <c r="J21" s="6" t="inlineStr">
        <is>
          <t>2026-10-11</t>
        </is>
      </c>
      <c r="K21" s="6" t="inlineStr"/>
      <c r="L21" s="6">
        <f>COUNTIF('Values from Papers'!$G:$G,A21)</f>
        <v/>
      </c>
    </row>
    <row r="22">
      <c r="A22" s="6" t="inlineStr">
        <is>
          <t>S19</t>
        </is>
      </c>
      <c r="B22" s="6" t="inlineStr">
        <is>
          <t>Bian et al. 2019</t>
        </is>
      </c>
      <c r="C22" s="6" t="inlineStr">
        <is>
          <t>S. Bian, V. F. Rey, J. Younas, P. Lukowicz</t>
        </is>
      </c>
      <c r="D22" s="6" t="inlineStr">
        <is>
          <t>Wrist-Worn Capacitive Sensor for Activity and Physical Collaboration Recognition</t>
        </is>
      </c>
      <c r="E22" s="6" t="inlineStr">
        <is>
          <t>IEEE PerCom Workshops</t>
        </is>
      </c>
      <c r="F22" s="6" t="n">
        <v>2019</v>
      </c>
      <c r="G22" s="6" t="inlineStr">
        <is>
          <t>Conference paper</t>
        </is>
      </c>
      <c r="H22" s="6" t="inlineStr">
        <is>
          <t>-</t>
        </is>
      </c>
      <c r="I22" s="13" t="inlineStr">
        <is>
          <t>https://dfki.de/web/forschung/projekte-publikationen/publikation/10312</t>
        </is>
      </c>
      <c r="J22" s="6" t="inlineStr">
        <is>
          <t>2026-10-11</t>
        </is>
      </c>
      <c r="K22" s="6" t="inlineStr"/>
      <c r="L22" s="6">
        <f>COUNTIF('Values from Papers'!$G:$G,A22)</f>
        <v/>
      </c>
    </row>
    <row r="23">
      <c r="A23" s="6" t="inlineStr">
        <is>
          <t>S20</t>
        </is>
      </c>
      <c r="B23" s="6" t="inlineStr">
        <is>
          <t>Bian, Liu, Lukowicz 2025</t>
        </is>
      </c>
      <c r="C23" s="6" t="inlineStr">
        <is>
          <t>S. Bian, M. Liu, P. Lukowicz</t>
        </is>
      </c>
      <c r="D23" s="6" t="inlineStr">
        <is>
          <t>Passive Body-Area Electrostatic Field (Human Body Capacitance) for Ubiquitous Computing</t>
        </is>
      </c>
      <c r="E23" s="6" t="inlineStr">
        <is>
          <t>arXiv:2507.13520</t>
        </is>
      </c>
      <c r="F23" s="6" t="n">
        <v>2025</v>
      </c>
      <c r="G23" s="6" t="inlineStr">
        <is>
          <t>Review / overview (preprint)</t>
        </is>
      </c>
      <c r="H23" s="6" t="inlineStr">
        <is>
          <t>-</t>
        </is>
      </c>
      <c r="I23" s="13" t="inlineStr">
        <is>
          <t>https://arxiv.org/html/2507.13520v1</t>
        </is>
      </c>
      <c r="J23" s="6" t="inlineStr">
        <is>
          <t>2026-10-11</t>
        </is>
      </c>
      <c r="K23" s="6" t="inlineStr"/>
      <c r="L23" s="6">
        <f>COUNTIF('Values from Papers'!$G:$G,A23)</f>
        <v/>
      </c>
    </row>
    <row r="24">
      <c r="A24" s="6" t="inlineStr">
        <is>
          <t>S21</t>
        </is>
      </c>
      <c r="B24" s="6" t="inlineStr">
        <is>
          <t>Kurita 2016</t>
        </is>
      </c>
      <c r="C24" s="6" t="inlineStr">
        <is>
          <t>K. Kurita</t>
        </is>
      </c>
      <c r="D24" s="6" t="inlineStr">
        <is>
          <t>Detection method for contact electrification based on electrostatic induction</t>
        </is>
      </c>
      <c r="E24" s="6" t="inlineStr">
        <is>
          <t>Electrostatics Joint Conference</t>
        </is>
      </c>
      <c r="F24" s="6" t="n">
        <v>2016</v>
      </c>
      <c r="G24" s="6" t="inlineStr">
        <is>
          <t>Conference paper</t>
        </is>
      </c>
      <c r="H24" s="6" t="inlineStr">
        <is>
          <t>-</t>
        </is>
      </c>
      <c r="I24" s="13" t="inlineStr">
        <is>
          <t>https://electrostatics.org/wp-content/uploads/2023/08/G12.pdf</t>
        </is>
      </c>
      <c r="J24" s="6" t="inlineStr">
        <is>
          <t>2026-10-11</t>
        </is>
      </c>
      <c r="K24" s="6" t="inlineStr"/>
      <c r="L24" s="6">
        <f>COUNTIF('Values from Papers'!$G:$G,A24)</f>
        <v/>
      </c>
    </row>
    <row r="25">
      <c r="A25" s="6" t="inlineStr">
        <is>
          <t>S22</t>
        </is>
      </c>
      <c r="B25" s="6" t="inlineStr">
        <is>
          <t>Elfekey et al. 2016</t>
        </is>
      </c>
      <c r="C25" s="6" t="inlineStr">
        <is>
          <t>H. Elfekey, H. A. Bastawrous, S. Okamoto</t>
        </is>
      </c>
      <c r="D25" s="6" t="inlineStr">
        <is>
          <t>A Touch Sensing Technique Using the Effects of Extremely Low Frequency Fields on the Human Body</t>
        </is>
      </c>
      <c r="E25" s="6" t="inlineStr">
        <is>
          <t>Sensors 16(12):2049</t>
        </is>
      </c>
      <c r="F25" s="6" t="n">
        <v>2016</v>
      </c>
      <c r="G25" s="6" t="inlineStr">
        <is>
          <t>Journal article</t>
        </is>
      </c>
      <c r="H25" s="6" t="inlineStr">
        <is>
          <t>-</t>
        </is>
      </c>
      <c r="I25" s="13" t="inlineStr">
        <is>
          <t>https://doi.org/10.3390/s16122049</t>
        </is>
      </c>
      <c r="J25" s="6" t="inlineStr">
        <is>
          <t>2026-10-11</t>
        </is>
      </c>
      <c r="K25" s="6" t="inlineStr"/>
      <c r="L25" s="6">
        <f>COUNTIF('Values from Papers'!$G:$G,A25)</f>
        <v/>
      </c>
    </row>
    <row r="26">
      <c r="A26" s="6" t="inlineStr">
        <is>
          <t>S23</t>
        </is>
      </c>
      <c r="B26" s="6" t="inlineStr">
        <is>
          <t>GKVK Bengaluru weather normals</t>
        </is>
      </c>
      <c r="C26" s="6" t="inlineStr">
        <is>
          <t>University of Agricultural Sciences, Bangalore (GKVK agro-meteorological observatory)</t>
        </is>
      </c>
      <c r="D26" s="6" t="inlineStr">
        <is>
          <t>Monthly weather normals, GKVK, Bengaluru</t>
        </is>
      </c>
      <c r="E26" s="6" t="inlineStr">
        <is>
          <t>uasbangalore.edu.in</t>
        </is>
      </c>
      <c r="F26" s="6" t="inlineStr">
        <is>
          <t>n.d.</t>
        </is>
      </c>
      <c r="G26" s="6" t="inlineStr">
        <is>
          <t>Station climate record</t>
        </is>
      </c>
      <c r="H26" s="6" t="inlineStr">
        <is>
          <t>-</t>
        </is>
      </c>
      <c r="I26" s="13" t="inlineStr">
        <is>
          <t>https://uasbangalore.edu.in/images/Agrometerology/pdf/gkvk-monthly-weather-normals-2011-2020-converted.pdf</t>
        </is>
      </c>
      <c r="J26" s="6" t="inlineStr">
        <is>
          <t>2026-10-11</t>
        </is>
      </c>
      <c r="K26" s="6" t="inlineStr">
        <is>
          <t>Relative humidity read at 08:30 and 17:30 IST</t>
        </is>
      </c>
      <c r="L26" s="6">
        <f>COUNTIF('Values from Papers'!$G:$G,A26)</f>
        <v/>
      </c>
    </row>
    <row r="27">
      <c r="A27" s="6" t="inlineStr">
        <is>
          <t>S24</t>
        </is>
      </c>
      <c r="B27" s="6" t="inlineStr">
        <is>
          <t>IPC ESD resource (ANSI/ESD S20.20)</t>
        </is>
      </c>
      <c r="C27" s="6" t="inlineStr">
        <is>
          <t>IPC (Electronics.org) technical resource</t>
        </is>
      </c>
      <c r="D27" s="6" t="inlineStr">
        <is>
          <t>Electrostatic Discharge (ESD), Factory Issues, Measurement Methods</t>
        </is>
      </c>
      <c r="E27" s="6" t="inlineStr">
        <is>
          <t>electronics.org</t>
        </is>
      </c>
      <c r="F27" s="6" t="inlineStr">
        <is>
          <t>n.d.</t>
        </is>
      </c>
      <c r="G27" s="6" t="inlineStr">
        <is>
          <t>Industry technical paper</t>
        </is>
      </c>
      <c r="H27" s="6" t="inlineStr">
        <is>
          <t>-</t>
        </is>
      </c>
      <c r="I27" s="13" t="inlineStr">
        <is>
          <t>https://www.electronics.org/system/files/technical_resource/E15&amp;S22_02.pdf</t>
        </is>
      </c>
      <c r="J27" s="6" t="inlineStr">
        <is>
          <t>2026-10-11</t>
        </is>
      </c>
      <c r="K27" s="6" t="inlineStr">
        <is>
          <t>Quotes ANSI/ESD S20.20 limits for the person-footwear-floor path</t>
        </is>
      </c>
      <c r="L27" s="6">
        <f>COUNTIF('Values from Papers'!$G:$G,A27)</f>
        <v/>
      </c>
    </row>
    <row r="28">
      <c r="A28" s="6" t="inlineStr">
        <is>
          <t>S25</t>
        </is>
      </c>
      <c r="B28" s="6" t="inlineStr">
        <is>
          <t>Bian et al. 2025 (collaborative)</t>
        </is>
      </c>
      <c r="C28" s="6" t="inlineStr">
        <is>
          <t>S. Bian, P. Lukowicz et al.</t>
        </is>
      </c>
      <c r="D28" s="6" t="inlineStr">
        <is>
          <t>Collaborative Human Activity Recognition with Passive Inter-Body Electrostatic Field</t>
        </is>
      </c>
      <c r="E28" s="6" t="inlineStr">
        <is>
          <t>arXiv:2501.06940</t>
        </is>
      </c>
      <c r="F28" s="6" t="n">
        <v>2025</v>
      </c>
      <c r="G28" s="6" t="inlineStr">
        <is>
          <t>Preprint</t>
        </is>
      </c>
      <c r="H28" s="6" t="inlineStr">
        <is>
          <t>-</t>
        </is>
      </c>
      <c r="I28" s="13" t="inlineStr">
        <is>
          <t>https://arxiv.org/pdf/2501.06940</t>
        </is>
      </c>
      <c r="J28" s="6" t="inlineStr">
        <is>
          <t>2026-10-11</t>
        </is>
      </c>
      <c r="K28" s="6" t="inlineStr"/>
      <c r="L28" s="6">
        <f>COUNTIF('Values from Papers'!$G:$G,A28)</f>
        <v/>
      </c>
    </row>
    <row r="29">
      <c r="A29" s="6" t="inlineStr">
        <is>
          <t>S26</t>
        </is>
      </c>
      <c r="B29" s="6" t="inlineStr">
        <is>
          <t>Bian et al. 2022 (leg motion)</t>
        </is>
      </c>
      <c r="C29" s="6" t="inlineStr">
        <is>
          <t>S. Bian et al.</t>
        </is>
      </c>
      <c r="D29" s="6" t="inlineStr">
        <is>
          <t>Using Human Body Capacitance Sensing to Monitor Leg Motion Dominated Activities with a Wrist Worn Device</t>
        </is>
      </c>
      <c r="E29" s="6" t="inlineStr">
        <is>
          <t>Springer (book chapter)</t>
        </is>
      </c>
      <c r="F29" s="6" t="n">
        <v>2022</v>
      </c>
      <c r="G29" s="6" t="inlineStr">
        <is>
          <t>Book chapter</t>
        </is>
      </c>
      <c r="H29" s="6" t="inlineStr">
        <is>
          <t>-</t>
        </is>
      </c>
      <c r="I29" s="13" t="inlineStr">
        <is>
          <t>https://link.springer.com/chapter/10.1007/978-981-19-0361-8_5</t>
        </is>
      </c>
      <c r="J29" s="6" t="inlineStr">
        <is>
          <t>2026-10-11</t>
        </is>
      </c>
      <c r="K29" s="6" t="inlineStr"/>
      <c r="L29" s="6">
        <f>COUNTIF('Values from Papers'!$G:$G,A29)</f>
        <v/>
      </c>
    </row>
    <row r="30">
      <c r="A30" s="6" t="inlineStr">
        <is>
          <t>S27</t>
        </is>
      </c>
      <c r="B30" s="6" t="inlineStr">
        <is>
          <t>Loeffler 2014</t>
        </is>
      </c>
      <c r="C30" s="6" t="inlineStr">
        <is>
          <t>C. E. Loeffler</t>
        </is>
      </c>
      <c r="D30" s="6" t="inlineStr">
        <is>
          <t>Detecting Gunshots Using Wearable Accelerometers</t>
        </is>
      </c>
      <c r="E30" s="6" t="inlineStr">
        <is>
          <t>PLOS ONE 9(9):e106664</t>
        </is>
      </c>
      <c r="F30" s="6" t="n">
        <v>2014</v>
      </c>
      <c r="G30" s="6" t="inlineStr">
        <is>
          <t>Journal article</t>
        </is>
      </c>
      <c r="H30" s="6" t="inlineStr">
        <is>
          <t>-</t>
        </is>
      </c>
      <c r="I30" s="13" t="inlineStr">
        <is>
          <t>https://journals.plos.org/plosone/article?id=10.1371%2Fjournal.pone.0106664</t>
        </is>
      </c>
      <c r="J30" s="6" t="inlineStr">
        <is>
          <t>2026-10-11</t>
        </is>
      </c>
      <c r="K30" s="6" t="inlineStr">
        <is>
          <t>Wrist accelerometer event detection; test set included confusable activities</t>
        </is>
      </c>
      <c r="L30" s="6">
        <f>COUNTIF('Values from Papers'!$G:$G,A30)</f>
        <v/>
      </c>
    </row>
    <row r="31">
      <c r="A31" s="6" t="inlineStr">
        <is>
          <t>S28</t>
        </is>
      </c>
      <c r="B31" s="6" t="inlineStr">
        <is>
          <t>Siirtola 2019</t>
        </is>
      </c>
      <c r="C31" s="6" t="inlineStr">
        <is>
          <t>P. Siirtola</t>
        </is>
      </c>
      <c r="D31" s="6" t="inlineStr">
        <is>
          <t>Continuous stress detection using the sensors of commercial smartwatch (WESAD, Empatica E4)</t>
        </is>
      </c>
      <c r="E31" s="6" t="inlineStr">
        <is>
          <t>UbiComp/ISWC adjunct</t>
        </is>
      </c>
      <c r="F31" s="6" t="n">
        <v>2019</v>
      </c>
      <c r="G31" s="6" t="inlineStr">
        <is>
          <t>Workshop paper</t>
        </is>
      </c>
      <c r="H31" s="6" t="inlineStr">
        <is>
          <t>-</t>
        </is>
      </c>
      <c r="I31" s="13" t="inlineStr">
        <is>
          <t>https://arxiv.org/pdf/2203.09669</t>
        </is>
      </c>
      <c r="J31" s="6" t="inlineStr">
        <is>
          <t>2026-10-11</t>
        </is>
      </c>
      <c r="K31" s="6" t="inlineStr">
        <is>
          <t>Wrist-only stress detection on the WESAD dataset</t>
        </is>
      </c>
      <c r="L31" s="6">
        <f>COUNTIF('Values from Papers'!$G:$G,A31)</f>
        <v/>
      </c>
    </row>
    <row r="32">
      <c r="A32" s="6" t="inlineStr">
        <is>
          <t>S29</t>
        </is>
      </c>
      <c r="B32" s="6" t="inlineStr">
        <is>
          <t>Schmidt et al. 2018 (WESAD)</t>
        </is>
      </c>
      <c r="C32" s="6" t="inlineStr">
        <is>
          <t>P. Schmidt, A. Reiss, R. Duerichen, C. Marberger, K. Van Laerhoven</t>
        </is>
      </c>
      <c r="D32" s="6" t="inlineStr">
        <is>
          <t>Introducing WESAD, a Multimodal Dataset for Wearable Stress and Affect Detection</t>
        </is>
      </c>
      <c r="E32" s="6" t="inlineStr">
        <is>
          <t>ACM ICMI</t>
        </is>
      </c>
      <c r="F32" s="6" t="n">
        <v>2018</v>
      </c>
      <c r="G32" s="6" t="inlineStr">
        <is>
          <t>Conference paper</t>
        </is>
      </c>
      <c r="H32" s="6" t="inlineStr">
        <is>
          <t>-</t>
        </is>
      </c>
      <c r="I32" s="13" t="inlineStr">
        <is>
          <t>https://www.eti.uni-siegen.de/ubicomp/home/datasets/icmi18/</t>
        </is>
      </c>
      <c r="J32" s="6" t="inlineStr">
        <is>
          <t>2026-10-11</t>
        </is>
      </c>
      <c r="K32" s="6" t="inlineStr"/>
      <c r="L32" s="6">
        <f>COUNTIF('Values from Papers'!$G:$G,A32)</f>
        <v/>
      </c>
    </row>
    <row r="33">
      <c r="A33" s="6" t="inlineStr">
        <is>
          <t>S30</t>
        </is>
      </c>
      <c r="B33" s="6" t="inlineStr">
        <is>
          <t>Audio distress detection 2026</t>
        </is>
      </c>
      <c r="C33" s="6" t="inlineStr">
        <is>
          <t>(authors as listed on arXiv)</t>
        </is>
      </c>
      <c r="D33" s="6" t="inlineStr">
        <is>
          <t>Smartphone Audio Based Distress Detection</t>
        </is>
      </c>
      <c r="E33" s="6" t="inlineStr">
        <is>
          <t>arXiv:2608.04176</t>
        </is>
      </c>
      <c r="F33" s="6" t="n">
        <v>2026</v>
      </c>
      <c r="G33" s="6" t="inlineStr">
        <is>
          <t>Preprint</t>
        </is>
      </c>
      <c r="H33" s="6" t="inlineStr">
        <is>
          <t>-</t>
        </is>
      </c>
      <c r="I33" s="13" t="inlineStr">
        <is>
          <t>https://arxiv.org/pdf/2608.04176</t>
        </is>
      </c>
      <c r="J33" s="6" t="inlineStr">
        <is>
          <t>2026-10-11</t>
        </is>
      </c>
      <c r="K33" s="6" t="inlineStr"/>
      <c r="L33" s="6">
        <f>COUNTIF('Values from Papers'!$G:$G,A33)</f>
        <v/>
      </c>
    </row>
    <row r="34">
      <c r="A34" s="6" t="inlineStr">
        <is>
          <t>S31</t>
        </is>
      </c>
      <c r="B34" s="6" t="inlineStr">
        <is>
          <t>US Pat. 10,950,112</t>
        </is>
      </c>
      <c r="C34" s="6" t="inlineStr">
        <is>
          <t>US Patent 10,950,112</t>
        </is>
      </c>
      <c r="D34" s="6" t="inlineStr">
        <is>
          <t>Wrist fall detector based on arm direction</t>
        </is>
      </c>
      <c r="E34" s="6" t="inlineStr">
        <is>
          <t>USPTO</t>
        </is>
      </c>
      <c r="F34" s="6" t="inlineStr">
        <is>
          <t>n.d.</t>
        </is>
      </c>
      <c r="G34" s="6" t="inlineStr">
        <is>
          <t>Patent</t>
        </is>
      </c>
      <c r="H34" s="6" t="inlineStr">
        <is>
          <t>-</t>
        </is>
      </c>
      <c r="I34" s="13" t="inlineStr">
        <is>
          <t>https://image-ppubs.uspto.gov/dirsearch-public/print/downloadPdf/10950112</t>
        </is>
      </c>
      <c r="J34" s="6" t="inlineStr">
        <is>
          <t>2026-10-11</t>
        </is>
      </c>
      <c r="K34" s="6" t="inlineStr">
        <is>
          <t>States a false-alarm budget for wrist-worn detectors</t>
        </is>
      </c>
      <c r="L34" s="6">
        <f>COUNTIF('Values from Papers'!$G:$G,A34)</f>
        <v/>
      </c>
    </row>
  </sheetData>
  <autoFilter ref="A3:L34"/>
  <hyperlinks>
    <hyperlink xmlns:r="http://schemas.openxmlformats.org/officeDocument/2006/relationships" ref="I4" r:id="rId1"/>
    <hyperlink xmlns:r="http://schemas.openxmlformats.org/officeDocument/2006/relationships" ref="I5" r:id="rId2"/>
    <hyperlink xmlns:r="http://schemas.openxmlformats.org/officeDocument/2006/relationships" ref="I6" r:id="rId3"/>
    <hyperlink xmlns:r="http://schemas.openxmlformats.org/officeDocument/2006/relationships" ref="I7" r:id="rId4"/>
    <hyperlink xmlns:r="http://schemas.openxmlformats.org/officeDocument/2006/relationships" ref="I8" r:id="rId5"/>
    <hyperlink xmlns:r="http://schemas.openxmlformats.org/officeDocument/2006/relationships" ref="I9" r:id="rId6"/>
    <hyperlink xmlns:r="http://schemas.openxmlformats.org/officeDocument/2006/relationships" ref="I10" r:id="rId7"/>
    <hyperlink xmlns:r="http://schemas.openxmlformats.org/officeDocument/2006/relationships" ref="I11" r:id="rId8"/>
    <hyperlink xmlns:r="http://schemas.openxmlformats.org/officeDocument/2006/relationships" ref="I12" r:id="rId9"/>
    <hyperlink xmlns:r="http://schemas.openxmlformats.org/officeDocument/2006/relationships" ref="I13" r:id="rId10"/>
    <hyperlink xmlns:r="http://schemas.openxmlformats.org/officeDocument/2006/relationships" ref="I14" r:id="rId11"/>
    <hyperlink xmlns:r="http://schemas.openxmlformats.org/officeDocument/2006/relationships" ref="I15" r:id="rId12"/>
    <hyperlink xmlns:r="http://schemas.openxmlformats.org/officeDocument/2006/relationships" ref="I16" r:id="rId13"/>
    <hyperlink xmlns:r="http://schemas.openxmlformats.org/officeDocument/2006/relationships" ref="I17" r:id="rId14"/>
    <hyperlink xmlns:r="http://schemas.openxmlformats.org/officeDocument/2006/relationships" ref="I18" r:id="rId15"/>
    <hyperlink xmlns:r="http://schemas.openxmlformats.org/officeDocument/2006/relationships" ref="I19" r:id="rId16"/>
    <hyperlink xmlns:r="http://schemas.openxmlformats.org/officeDocument/2006/relationships" ref="I20" r:id="rId17"/>
    <hyperlink xmlns:r="http://schemas.openxmlformats.org/officeDocument/2006/relationships" ref="I21" r:id="rId18"/>
    <hyperlink xmlns:r="http://schemas.openxmlformats.org/officeDocument/2006/relationships" ref="I22" r:id="rId19"/>
    <hyperlink xmlns:r="http://schemas.openxmlformats.org/officeDocument/2006/relationships" ref="I23" r:id="rId20"/>
    <hyperlink xmlns:r="http://schemas.openxmlformats.org/officeDocument/2006/relationships" ref="I24" r:id="rId21"/>
    <hyperlink xmlns:r="http://schemas.openxmlformats.org/officeDocument/2006/relationships" ref="I25" r:id="rId22"/>
    <hyperlink xmlns:r="http://schemas.openxmlformats.org/officeDocument/2006/relationships" ref="I26" r:id="rId23"/>
    <hyperlink xmlns:r="http://schemas.openxmlformats.org/officeDocument/2006/relationships" ref="I27" r:id="rId24"/>
    <hyperlink xmlns:r="http://schemas.openxmlformats.org/officeDocument/2006/relationships" ref="I28" r:id="rId25"/>
    <hyperlink xmlns:r="http://schemas.openxmlformats.org/officeDocument/2006/relationships" ref="I29" r:id="rId26"/>
    <hyperlink xmlns:r="http://schemas.openxmlformats.org/officeDocument/2006/relationships" ref="I30" r:id="rId27"/>
    <hyperlink xmlns:r="http://schemas.openxmlformats.org/officeDocument/2006/relationships" ref="I31" r:id="rId28"/>
    <hyperlink xmlns:r="http://schemas.openxmlformats.org/officeDocument/2006/relationships" ref="I32" r:id="rId29"/>
    <hyperlink xmlns:r="http://schemas.openxmlformats.org/officeDocument/2006/relationships" ref="I33" r:id="rId30"/>
    <hyperlink xmlns:r="http://schemas.openxmlformats.org/officeDocument/2006/relationships" ref="I34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34" customWidth="1" min="3" max="3"/>
    <col width="14" customWidth="1" min="4" max="4"/>
    <col width="7" customWidth="1" min="5" max="5"/>
    <col width="14" customWidth="1" min="6" max="6"/>
    <col width="40" customWidth="1" min="7" max="7"/>
  </cols>
  <sheetData>
    <row r="1">
      <c r="A1" s="1" t="inlineStr">
        <is>
          <t>Parameters used by simulation v0.3</t>
        </is>
      </c>
    </row>
    <row r="2">
      <c r="A2" s="4" t="inlineStr">
        <is>
          <t>Tag: S = published source, G = geometry calculation, D = our design choice, E = estimate (no source yet).</t>
        </is>
      </c>
    </row>
    <row r="3" ht="30" customHeight="1">
      <c r="A3" s="5" t="inlineStr">
        <is>
          <t>Parameter</t>
        </is>
      </c>
      <c r="B3" s="5" t="inlineStr">
        <is>
          <t>Symbol in sg_model.py</t>
        </is>
      </c>
      <c r="C3" s="5" t="inlineStr">
        <is>
          <t>Value used</t>
        </is>
      </c>
      <c r="D3" s="5" t="inlineStr">
        <is>
          <t>Unit</t>
        </is>
      </c>
      <c r="E3" s="5" t="inlineStr">
        <is>
          <t>Tag</t>
        </is>
      </c>
      <c r="F3" s="5" t="inlineStr">
        <is>
          <t>Source IDs</t>
        </is>
      </c>
      <c r="G3" s="5" t="inlineStr">
        <is>
          <t>Note</t>
        </is>
      </c>
    </row>
    <row r="4">
      <c r="A4" s="6" t="inlineStr">
        <is>
          <t>Sweep grid</t>
        </is>
      </c>
      <c r="B4" s="6" t="inlineStr">
        <is>
          <t>FREQS</t>
        </is>
      </c>
      <c r="C4" s="6" t="inlineStr">
        <is>
          <t>1 kHz + 17.5 kHz·k, k = 0..199</t>
        </is>
      </c>
      <c r="D4" s="6" t="inlineStr">
        <is>
          <t>Hz</t>
        </is>
      </c>
      <c r="E4" s="7" t="inlineStr">
        <is>
          <t>S</t>
        </is>
      </c>
      <c r="F4" s="6" t="inlineStr">
        <is>
          <t>S1, S2</t>
        </is>
      </c>
      <c r="G4" s="6" t="inlineStr"/>
    </row>
    <row r="5">
      <c r="A5" s="6" t="inlineStr">
        <is>
          <t>Series resistor</t>
        </is>
      </c>
      <c r="B5" s="6" t="inlineStr">
        <is>
          <t>Rs</t>
        </is>
      </c>
      <c r="C5" s="6" t="inlineStr">
        <is>
          <t>10</t>
        </is>
      </c>
      <c r="D5" s="6" t="inlineStr">
        <is>
          <t>kΩ</t>
        </is>
      </c>
      <c r="E5" s="7" t="inlineStr">
        <is>
          <t>S</t>
        </is>
      </c>
      <c r="F5" s="6" t="inlineStr">
        <is>
          <t>S3</t>
        </is>
      </c>
      <c r="G5" s="6" t="inlineStr"/>
    </row>
    <row r="6">
      <c r="A6" s="6" t="inlineStr">
        <is>
          <t>Inductor</t>
        </is>
      </c>
      <c r="B6" s="6" t="inlineStr">
        <is>
          <t>L</t>
        </is>
      </c>
      <c r="C6" s="6" t="inlineStr">
        <is>
          <t>10 ±5%</t>
        </is>
      </c>
      <c r="D6" s="6" t="inlineStr">
        <is>
          <t>mH</t>
        </is>
      </c>
      <c r="E6" s="7" t="inlineStr">
        <is>
          <t>S</t>
        </is>
      </c>
      <c r="F6" s="6" t="inlineStr">
        <is>
          <t>S3</t>
        </is>
      </c>
      <c r="G6" s="6" t="inlineStr"/>
    </row>
    <row r="7">
      <c r="A7" s="6" t="inlineStr">
        <is>
          <t>Tank capacitor + node parasitics</t>
        </is>
      </c>
      <c r="B7" s="6" t="inlineStr">
        <is>
          <t>Ctank</t>
        </is>
      </c>
      <c r="C7" s="6" t="inlineStr">
        <is>
          <t>100 ±5% + 2–7</t>
        </is>
      </c>
      <c r="D7" s="6" t="inlineStr">
        <is>
          <t>pF</t>
        </is>
      </c>
      <c r="E7" s="11" t="inlineStr">
        <is>
          <t>S/E</t>
        </is>
      </c>
      <c r="F7" s="6" t="inlineStr">
        <is>
          <t>S3, S8</t>
        </is>
      </c>
      <c r="G7" s="6" t="inlineStr">
        <is>
          <t>Parasitics part estimated</t>
        </is>
      </c>
    </row>
    <row r="8">
      <c r="A8" s="6" t="inlineStr">
        <is>
          <t>Measurement noise</t>
        </is>
      </c>
      <c r="B8" s="6" t="inlineStr">
        <is>
          <t>NOISE</t>
        </is>
      </c>
      <c r="C8" s="6" t="inlineStr">
        <is>
          <t>0.1</t>
        </is>
      </c>
      <c r="D8" s="6" t="inlineStr">
        <is>
          <t>% of full scale</t>
        </is>
      </c>
      <c r="E8" s="11" t="inlineStr">
        <is>
          <t>S/E</t>
        </is>
      </c>
      <c r="F8" s="6" t="inlineStr">
        <is>
          <t>S15</t>
        </is>
      </c>
      <c r="G8" s="6" t="inlineStr">
        <is>
          <t>Weak source; measure on the board</t>
        </is>
      </c>
    </row>
    <row r="9">
      <c r="A9" s="6" t="inlineStr">
        <is>
          <t>Inner electrode area</t>
        </is>
      </c>
      <c r="B9" s="6" t="inlineStr">
        <is>
          <t>el_area</t>
        </is>
      </c>
      <c r="C9" s="6" t="inlineStr">
        <is>
          <t>2–4</t>
        </is>
      </c>
      <c r="D9" s="6" t="inlineStr">
        <is>
          <t>cm²</t>
        </is>
      </c>
      <c r="E9" s="14" t="inlineStr">
        <is>
          <t>D</t>
        </is>
      </c>
      <c r="F9" s="6" t="inlineStr">
        <is>
          <t>-</t>
        </is>
      </c>
      <c r="G9" s="6" t="inlineStr">
        <is>
          <t>Design choice, stainless steel</t>
        </is>
      </c>
    </row>
    <row r="10">
      <c r="A10" s="6" t="inlineStr">
        <is>
          <t>Stratum corneum R and C</t>
        </is>
      </c>
      <c r="B10" s="6" t="inlineStr">
        <is>
          <t>z_sc</t>
        </is>
      </c>
      <c r="C10" s="6" t="inlineStr">
        <is>
          <t>Rsc 6.4→3.0 MΩ·cm², Csc 41→190 nF/cm², α 0.88–0.92</t>
        </is>
      </c>
      <c r="D10" s="6" t="inlineStr">
        <is>
          <t>per cm²</t>
        </is>
      </c>
      <c r="E10" s="7" t="inlineStr">
        <is>
          <t>S</t>
        </is>
      </c>
      <c r="F10" s="6" t="inlineStr">
        <is>
          <t>S10</t>
        </is>
      </c>
      <c r="G10" s="6" t="inlineStr">
        <is>
          <t>Dry → hydrated</t>
        </is>
      </c>
    </row>
    <row r="11">
      <c r="A11" s="6" t="inlineStr">
        <is>
          <t>Metal contact</t>
        </is>
      </c>
      <c r="B11" s="6" t="inlineStr">
        <is>
          <t>z_metal</t>
        </is>
      </c>
      <c r="C11" s="6" t="inlineStr">
        <is>
          <t>114 nF/cm² (×1.57 hydrated), β 0.5–0.6</t>
        </is>
      </c>
      <c r="D11" s="6" t="inlineStr">
        <is>
          <t>per cm²</t>
        </is>
      </c>
      <c r="E11" s="7" t="inlineStr">
        <is>
          <t>S</t>
        </is>
      </c>
      <c r="F11" s="6" t="inlineStr">
        <is>
          <t>S10</t>
        </is>
      </c>
      <c r="G11" s="6" t="inlineStr"/>
    </row>
    <row r="12">
      <c r="A12" s="6" t="inlineStr">
        <is>
          <t>Skin hydration</t>
        </is>
      </c>
      <c r="B12" s="6" t="inlineStr">
        <is>
          <t>hyd</t>
        </is>
      </c>
      <c r="C12" s="6" t="inlineStr">
        <is>
          <t>0 (dry) – 1 (hydrated)</t>
        </is>
      </c>
      <c r="D12" s="6" t="inlineStr">
        <is>
          <t>-</t>
        </is>
      </c>
      <c r="E12" s="7" t="inlineStr">
        <is>
          <t>S</t>
        </is>
      </c>
      <c r="F12" s="6" t="inlineStr">
        <is>
          <t>S10</t>
        </is>
      </c>
      <c r="G12" s="6" t="inlineStr"/>
    </row>
    <row r="13">
      <c r="A13" s="6" t="inlineStr">
        <is>
          <t>Wrist-to-trunk tissue</t>
        </is>
      </c>
      <c r="B13" s="6" t="inlineStr">
        <is>
          <t>Rbody</t>
        </is>
      </c>
      <c r="C13" s="6" t="inlineStr">
        <is>
          <t>100–400 + 100</t>
        </is>
      </c>
      <c r="D13" s="6" t="inlineStr">
        <is>
          <t>Ω</t>
        </is>
      </c>
      <c r="E13" s="7" t="inlineStr">
        <is>
          <t>S</t>
        </is>
      </c>
      <c r="F13" s="6" t="inlineStr">
        <is>
          <t>S5, S1</t>
        </is>
      </c>
      <c r="G13" s="6" t="inlineStr"/>
    </row>
    <row r="14">
      <c r="A14" s="6" t="inlineStr">
        <is>
          <t>Watch ground to wrist (PCB)</t>
        </is>
      </c>
      <c r="B14" s="6" t="inlineStr">
        <is>
          <t>C_GB</t>
        </is>
      </c>
      <c r="C14" s="6" t="inlineStr">
        <is>
          <t>3–13</t>
        </is>
      </c>
      <c r="D14" s="6" t="inlineStr">
        <is>
          <t>pF</t>
        </is>
      </c>
      <c r="E14" s="10" t="inlineStr">
        <is>
          <t>G</t>
        </is>
      </c>
      <c r="F14" s="6" t="inlineStr">
        <is>
          <t>-</t>
        </is>
      </c>
      <c r="G14" s="6" t="inlineStr">
        <is>
          <t>8–12 cm², 2–4 mm, εr 1.5–2.5</t>
        </is>
      </c>
    </row>
    <row r="15">
      <c r="A15" s="6" t="inlineStr">
        <is>
          <t>Outer strap electrode to wrist</t>
        </is>
      </c>
      <c r="B15" s="6" t="inlineStr">
        <is>
          <t>C_GB (dual)</t>
        </is>
      </c>
      <c r="C15" s="6" t="inlineStr">
        <is>
          <t>+15–60</t>
        </is>
      </c>
      <c r="D15" s="6" t="inlineStr">
        <is>
          <t>pF</t>
        </is>
      </c>
      <c r="E15" s="10" t="inlineStr">
        <is>
          <t>G</t>
        </is>
      </c>
      <c r="F15" s="6" t="inlineStr">
        <is>
          <t>-</t>
        </is>
      </c>
      <c r="G15" s="6" t="inlineStr">
        <is>
          <t>20–30 cm², 1.5–3 mm, εr 2.5–3.5</t>
        </is>
      </c>
    </row>
    <row r="16">
      <c r="A16" s="6" t="inlineStr">
        <is>
          <t>Driven-shield residual</t>
        </is>
      </c>
      <c r="B16" s="6" t="inlineStr">
        <is>
          <t>-</t>
        </is>
      </c>
      <c r="C16" s="6" t="inlineStr">
        <is>
          <t>20–50</t>
        </is>
      </c>
      <c r="D16" s="6" t="inlineStr">
        <is>
          <t>%</t>
        </is>
      </c>
      <c r="E16" s="7" t="inlineStr">
        <is>
          <t>S</t>
        </is>
      </c>
      <c r="F16" s="6" t="inlineStr">
        <is>
          <t>S14</t>
        </is>
      </c>
      <c r="G16" s="6" t="inlineStr"/>
    </row>
    <row r="17">
      <c r="A17" s="6" t="inlineStr">
        <is>
          <t>Body to surroundings, street shoes</t>
        </is>
      </c>
      <c r="B17" s="6" t="inlineStr">
        <is>
          <t>C_BE</t>
        </is>
      </c>
      <c r="C17" s="6" t="inlineStr">
        <is>
          <t>110–170</t>
        </is>
      </c>
      <c r="D17" s="6" t="inlineStr">
        <is>
          <t>pF</t>
        </is>
      </c>
      <c r="E17" s="7" t="inlineStr">
        <is>
          <t>S</t>
        </is>
      </c>
      <c r="F17" s="6" t="inlineStr">
        <is>
          <t>S4, S5</t>
        </is>
      </c>
      <c r="G17" s="6" t="inlineStr"/>
    </row>
    <row r="18">
      <c r="A18" s="6" t="inlineStr">
        <is>
          <t>Body to surroundings, barefoot</t>
        </is>
      </c>
      <c r="B18" s="6" t="inlineStr">
        <is>
          <t>C_BE</t>
        </is>
      </c>
      <c r="C18" s="6" t="inlineStr">
        <is>
          <t>185–250</t>
        </is>
      </c>
      <c r="D18" s="6" t="inlineStr">
        <is>
          <t>pF</t>
        </is>
      </c>
      <c r="E18" s="7" t="inlineStr">
        <is>
          <t>S</t>
        </is>
      </c>
      <c r="F18" s="6" t="inlineStr">
        <is>
          <t>S4</t>
        </is>
      </c>
      <c r="G18" s="6" t="inlineStr"/>
    </row>
    <row r="19">
      <c r="A19" s="6" t="inlineStr">
        <is>
          <t>Body to surroundings, sandals</t>
        </is>
      </c>
      <c r="B19" s="6" t="inlineStr">
        <is>
          <t>C_BE</t>
        </is>
      </c>
      <c r="C19" s="6" t="inlineStr">
        <is>
          <t>130–210</t>
        </is>
      </c>
      <c r="D19" s="6" t="inlineStr">
        <is>
          <t>pF</t>
        </is>
      </c>
      <c r="E19" s="11" t="inlineStr">
        <is>
          <t>E</t>
        </is>
      </c>
      <c r="F19" s="6" t="inlineStr">
        <is>
          <t>-</t>
        </is>
      </c>
      <c r="G19" s="6" t="inlineStr">
        <is>
          <t>Interpolated</t>
        </is>
      </c>
    </row>
    <row r="20">
      <c r="A20" s="6" t="inlineStr">
        <is>
          <t>Body to surroundings, car seat</t>
        </is>
      </c>
      <c r="B20" s="6" t="inlineStr">
        <is>
          <t>C_BE</t>
        </is>
      </c>
      <c r="C20" s="6" t="inlineStr">
        <is>
          <t>150–300</t>
        </is>
      </c>
      <c r="D20" s="6" t="inlineStr">
        <is>
          <t>pF</t>
        </is>
      </c>
      <c r="E20" s="11" t="inlineStr">
        <is>
          <t>E</t>
        </is>
      </c>
      <c r="F20" s="6" t="inlineStr">
        <is>
          <t>-</t>
        </is>
      </c>
      <c r="G20" s="6" t="inlineStr"/>
    </row>
    <row r="21">
      <c r="A21" s="6" t="inlineStr">
        <is>
          <t>Walking change in C_BE</t>
        </is>
      </c>
      <c r="B21" s="6" t="inlineStr">
        <is>
          <t>-</t>
        </is>
      </c>
      <c r="C21" s="6" t="inlineStr">
        <is>
          <t>±5</t>
        </is>
      </c>
      <c r="D21" s="6" t="inlineStr">
        <is>
          <t>%</t>
        </is>
      </c>
      <c r="E21" s="11" t="inlineStr">
        <is>
          <t>S/E</t>
        </is>
      </c>
      <c r="F21" s="6" t="inlineStr">
        <is>
          <t>S4, S9</t>
        </is>
      </c>
      <c r="G21" s="6" t="inlineStr">
        <is>
          <t>Direction sourced, size estimated</t>
        </is>
      </c>
    </row>
    <row r="22">
      <c r="A22" s="6" t="inlineStr">
        <is>
          <t>Watch return path, single electrode</t>
        </is>
      </c>
      <c r="B22" s="6" t="inlineStr">
        <is>
          <t>C_GE</t>
        </is>
      </c>
      <c r="C22" s="6" t="inlineStr">
        <is>
          <t>0.4–1.5</t>
        </is>
      </c>
      <c r="D22" s="6" t="inlineStr">
        <is>
          <t>pF</t>
        </is>
      </c>
      <c r="E22" s="10" t="inlineStr">
        <is>
          <t>S/G</t>
        </is>
      </c>
      <c r="F22" s="6" t="inlineStr">
        <is>
          <t>S11, S5</t>
        </is>
      </c>
      <c r="G22" s="6" t="inlineStr">
        <is>
          <t>8ε₀a × 0.364 to Maity's 1.5 pF</t>
        </is>
      </c>
    </row>
    <row r="23">
      <c r="A23" s="6" t="inlineStr">
        <is>
          <t>Watch return path, with outer electrode</t>
        </is>
      </c>
      <c r="B23" s="6" t="inlineStr">
        <is>
          <t>C_GE</t>
        </is>
      </c>
      <c r="C23" s="6" t="inlineStr">
        <is>
          <t>0.6–2.0</t>
        </is>
      </c>
      <c r="D23" s="6" t="inlineStr">
        <is>
          <t>pF</t>
        </is>
      </c>
      <c r="E23" s="11" t="inlineStr">
        <is>
          <t>G/E</t>
        </is>
      </c>
      <c r="F23" s="6" t="inlineStr">
        <is>
          <t>S11</t>
        </is>
      </c>
      <c r="G23" s="6" t="inlineStr">
        <is>
          <t>Upper end estimated</t>
        </is>
      </c>
    </row>
    <row r="24">
      <c r="A24" s="6" t="inlineStr">
        <is>
          <t>Car body factor on return path</t>
        </is>
      </c>
      <c r="B24" s="6" t="inlineStr">
        <is>
          <t>-</t>
        </is>
      </c>
      <c r="C24" s="6" t="inlineStr">
        <is>
          <t>×1.3–2</t>
        </is>
      </c>
      <c r="D24" s="6" t="inlineStr">
        <is>
          <t>×</t>
        </is>
      </c>
      <c r="E24" s="11" t="inlineStr">
        <is>
          <t>E</t>
        </is>
      </c>
      <c r="F24" s="6" t="inlineStr">
        <is>
          <t>-</t>
        </is>
      </c>
      <c r="G24" s="6" t="inlineStr"/>
    </row>
    <row r="25">
      <c r="A25" s="6" t="inlineStr">
        <is>
          <t>Second person to surroundings</t>
        </is>
      </c>
      <c r="B25" s="6" t="inlineStr">
        <is>
          <t>C_AE</t>
        </is>
      </c>
      <c r="C25" s="6" t="inlineStr">
        <is>
          <t>110–170 (+40–130 in car)</t>
        </is>
      </c>
      <c r="D25" s="6" t="inlineStr">
        <is>
          <t>pF</t>
        </is>
      </c>
      <c r="E25" s="11" t="inlineStr">
        <is>
          <t>S/E</t>
        </is>
      </c>
      <c r="F25" s="6" t="inlineStr">
        <is>
          <t>S4</t>
        </is>
      </c>
      <c r="G25" s="6" t="inlineStr"/>
    </row>
    <row r="26">
      <c r="A26" s="6" t="inlineStr">
        <is>
          <t>Hand contact area (grab)</t>
        </is>
      </c>
      <c r="B26" s="6" t="inlineStr">
        <is>
          <t>area</t>
        </is>
      </c>
      <c r="C26" s="6" t="inlineStr">
        <is>
          <t>40–80</t>
        </is>
      </c>
      <c r="D26" s="6" t="inlineStr">
        <is>
          <t>cm²</t>
        </is>
      </c>
      <c r="E26" s="7" t="inlineStr">
        <is>
          <t>S</t>
        </is>
      </c>
      <c r="F26" s="6" t="inlineStr">
        <is>
          <t>S13</t>
        </is>
      </c>
      <c r="G26" s="6" t="inlineStr">
        <is>
          <t>30–55% of hand area</t>
        </is>
      </c>
    </row>
    <row r="27">
      <c r="A27" s="6" t="inlineStr">
        <is>
          <t>Clothing permittivity</t>
        </is>
      </c>
      <c r="B27" s="6" t="inlineStr">
        <is>
          <t>er</t>
        </is>
      </c>
      <c r="C27" s="6" t="inlineStr">
        <is>
          <t>1.2–5.1</t>
        </is>
      </c>
      <c r="D27" s="6" t="inlineStr">
        <is>
          <t>-</t>
        </is>
      </c>
      <c r="E27" s="7" t="inlineStr">
        <is>
          <t>S</t>
        </is>
      </c>
      <c r="F27" s="6" t="inlineStr">
        <is>
          <t>S7</t>
        </is>
      </c>
      <c r="G27" s="6" t="inlineStr"/>
    </row>
    <row r="28">
      <c r="A28" s="6" t="inlineStr">
        <is>
          <t>Clothing thickness</t>
        </is>
      </c>
      <c r="B28" s="6" t="inlineStr">
        <is>
          <t>t</t>
        </is>
      </c>
      <c r="C28" s="6" t="inlineStr">
        <is>
          <t>0.16–0.58 per layer, 1–2 layers</t>
        </is>
      </c>
      <c r="D28" s="6" t="inlineStr">
        <is>
          <t>mm</t>
        </is>
      </c>
      <c r="E28" s="11" t="inlineStr">
        <is>
          <t>S/E</t>
        </is>
      </c>
      <c r="F28" s="6" t="inlineStr">
        <is>
          <t>S7</t>
        </is>
      </c>
      <c r="G28" s="6" t="inlineStr"/>
    </row>
    <row r="29">
      <c r="A29" s="6" t="inlineStr">
        <is>
          <t>Outer-electrode coating</t>
        </is>
      </c>
      <c r="B29" s="6" t="inlineStr">
        <is>
          <t>coat</t>
        </is>
      </c>
      <c r="C29" s="6" t="inlineStr">
        <is>
          <t>25–100 µm, εr 3</t>
        </is>
      </c>
      <c r="D29" s="6" t="inlineStr">
        <is>
          <t>-</t>
        </is>
      </c>
      <c r="E29" s="14" t="inlineStr">
        <is>
          <t>D</t>
        </is>
      </c>
      <c r="F29" s="6" t="inlineStr">
        <is>
          <t>-</t>
        </is>
      </c>
      <c r="G29" s="6" t="inlineStr">
        <is>
          <t>Design choice</t>
        </is>
      </c>
    </row>
    <row r="30">
      <c r="A30" s="6" t="inlineStr">
        <is>
          <t>His palm on outer electrode</t>
        </is>
      </c>
      <c r="B30" s="6" t="inlineStr">
        <is>
          <t>Z_A0</t>
        </is>
      </c>
      <c r="C30" s="6" t="inlineStr">
        <is>
          <t>skin 10–20 cm² + coating</t>
        </is>
      </c>
      <c r="D30" s="6" t="inlineStr">
        <is>
          <t>-</t>
        </is>
      </c>
      <c r="E30" s="11" t="inlineStr">
        <is>
          <t>E</t>
        </is>
      </c>
      <c r="F30" s="6" t="inlineStr">
        <is>
          <t>S10</t>
        </is>
      </c>
      <c r="G30" s="6" t="inlineStr">
        <is>
          <t>Palm area on strap estimated</t>
        </is>
      </c>
    </row>
    <row r="31">
      <c r="A31" s="6" t="inlineStr">
        <is>
          <t>His hand near strap (forearm)</t>
        </is>
      </c>
      <c r="B31" s="6" t="inlineStr">
        <is>
          <t>Z_A0</t>
        </is>
      </c>
      <c r="C31" s="6" t="inlineStr">
        <is>
          <t>0.5–3</t>
        </is>
      </c>
      <c r="D31" s="6" t="inlineStr">
        <is>
          <t>pF</t>
        </is>
      </c>
      <c r="E31" s="11" t="inlineStr">
        <is>
          <t>E</t>
        </is>
      </c>
      <c r="F31" s="6" t="inlineStr">
        <is>
          <t>-</t>
        </is>
      </c>
      <c r="G31" s="6" t="inlineStr"/>
    </row>
    <row r="32">
      <c r="A32" s="6" t="inlineStr">
        <is>
          <t>His body 0.3–0.6 m from watch</t>
        </is>
      </c>
      <c r="B32" s="6" t="inlineStr">
        <is>
          <t>Z_A0</t>
        </is>
      </c>
      <c r="C32" s="6" t="inlineStr">
        <is>
          <t>2–20% of return path</t>
        </is>
      </c>
      <c r="D32" s="6" t="inlineStr">
        <is>
          <t>-</t>
        </is>
      </c>
      <c r="E32" s="11" t="inlineStr">
        <is>
          <t>E</t>
        </is>
      </c>
      <c r="F32" s="6" t="inlineStr">
        <is>
          <t>-</t>
        </is>
      </c>
      <c r="G32" s="6" t="inlineStr"/>
    </row>
    <row r="33">
      <c r="A33" s="6" t="inlineStr">
        <is>
          <t>Bystander body-to-body</t>
        </is>
      </c>
      <c r="B33" s="6" t="inlineStr">
        <is>
          <t>Z_BA</t>
        </is>
      </c>
      <c r="C33" s="6" t="inlineStr">
        <is>
          <t>21–40</t>
        </is>
      </c>
      <c r="D33" s="6" t="inlineStr">
        <is>
          <t>pF</t>
        </is>
      </c>
      <c r="E33" s="11" t="inlineStr">
        <is>
          <t>S/E</t>
        </is>
      </c>
      <c r="F33" s="6" t="inlineStr">
        <is>
          <t>S12</t>
        </is>
      </c>
      <c r="G33" s="6" t="inlineStr">
        <is>
          <t>21 pF at 1 m; closer is higher</t>
        </is>
      </c>
    </row>
    <row r="34">
      <c r="A34" s="6" t="inlineStr">
        <is>
          <t>Own hand: both arms</t>
        </is>
      </c>
      <c r="B34" s="6" t="inlineStr">
        <is>
          <t>r_arms</t>
        </is>
      </c>
      <c r="C34" s="6" t="inlineStr">
        <is>
          <t>2 × 100–400</t>
        </is>
      </c>
      <c r="D34" s="6" t="inlineStr">
        <is>
          <t>Ω</t>
        </is>
      </c>
      <c r="E34" s="7" t="inlineStr">
        <is>
          <t>S</t>
        </is>
      </c>
      <c r="F34" s="6" t="inlineStr">
        <is>
          <t>S5</t>
        </is>
      </c>
      <c r="G34" s="6" t="inlineStr"/>
    </row>
    <row r="35">
      <c r="A35" s="6" t="inlineStr">
        <is>
          <t>Railing grip area</t>
        </is>
      </c>
      <c r="B35" s="6" t="inlineStr">
        <is>
          <t>-</t>
        </is>
      </c>
      <c r="C35" s="6" t="inlineStr">
        <is>
          <t>20–40</t>
        </is>
      </c>
      <c r="D35" s="6" t="inlineStr">
        <is>
          <t>cm²</t>
        </is>
      </c>
      <c r="E35" s="11" t="inlineStr">
        <is>
          <t>E</t>
        </is>
      </c>
      <c r="F35" s="6" t="inlineStr">
        <is>
          <t>S13</t>
        </is>
      </c>
      <c r="G35" s="6" t="inlineStr">
        <is>
          <t>Bounded by hand area</t>
        </is>
      </c>
    </row>
    <row r="36">
      <c r="A36" s="6" t="inlineStr">
        <is>
          <t>Strap on metal pole</t>
        </is>
      </c>
      <c r="B36" s="6" t="inlineStr">
        <is>
          <t>-</t>
        </is>
      </c>
      <c r="C36" s="6" t="inlineStr">
        <is>
          <t>coating over 2–10 cm²</t>
        </is>
      </c>
      <c r="D36" s="6" t="inlineStr">
        <is>
          <t>-</t>
        </is>
      </c>
      <c r="E36" s="10" t="inlineStr">
        <is>
          <t>G</t>
        </is>
      </c>
      <c r="F36" s="6" t="inlineStr">
        <is>
          <t>-</t>
        </is>
      </c>
      <c r="G36" s="6" t="inlineStr"/>
    </row>
    <row r="37">
      <c r="A37" s="6" t="inlineStr">
        <is>
          <t>Phone self-capacitance</t>
        </is>
      </c>
      <c r="B37" s="6" t="inlineStr">
        <is>
          <t>-</t>
        </is>
      </c>
      <c r="C37" s="6" t="inlineStr">
        <is>
          <t>4–12</t>
        </is>
      </c>
      <c r="D37" s="6" t="inlineStr">
        <is>
          <t>pF</t>
        </is>
      </c>
      <c r="E37" s="11" t="inlineStr">
        <is>
          <t>G/E</t>
        </is>
      </c>
      <c r="F37" s="6" t="inlineStr">
        <is>
          <t>-</t>
        </is>
      </c>
      <c r="G37" s="6" t="inlineStr">
        <is>
          <t>8·ε₀·r, r 6–10 cm</t>
        </is>
      </c>
    </row>
    <row r="38">
      <c r="A38" s="6" t="inlineStr">
        <is>
          <t>Wooden table, bag</t>
        </is>
      </c>
      <c r="B38" s="6" t="inlineStr">
        <is>
          <t>-</t>
        </is>
      </c>
      <c r="C38" s="6" t="inlineStr">
        <is>
          <t>1–20</t>
        </is>
      </c>
      <c r="D38" s="6" t="inlineStr">
        <is>
          <t>pF</t>
        </is>
      </c>
      <c r="E38" s="11" t="inlineStr">
        <is>
          <t>E</t>
        </is>
      </c>
      <c r="F38" s="6" t="inlineStr">
        <is>
          <t>-</t>
        </is>
      </c>
      <c r="G38" s="6" t="inlineStr"/>
    </row>
    <row r="39">
      <c r="A39" s="6" t="inlineStr">
        <is>
          <t>Strap-gap jitter</t>
        </is>
      </c>
      <c r="B39" s="6" t="inlineStr">
        <is>
          <t>-</t>
        </is>
      </c>
      <c r="C39" s="6" t="inlineStr">
        <is>
          <t>1.5 (normal) / 5 (strong)</t>
        </is>
      </c>
      <c r="D39" s="6" t="inlineStr">
        <is>
          <t>%</t>
        </is>
      </c>
      <c r="E39" s="11" t="inlineStr">
        <is>
          <t>E</t>
        </is>
      </c>
      <c r="F39" s="6" t="inlineStr">
        <is>
          <t>-</t>
        </is>
      </c>
      <c r="G39" s="6" t="inlineStr"/>
    </row>
  </sheetData>
  <autoFilter ref="A3:G3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2" customWidth="1" min="2" max="2"/>
    <col width="40" customWidth="1" min="3" max="3"/>
    <col width="52" customWidth="1" min="4" max="4"/>
    <col width="9" customWidth="1" min="5" max="5"/>
  </cols>
  <sheetData>
    <row r="1">
      <c r="A1" s="1" t="inlineStr">
        <is>
          <t>Values still estimated — measure these in Gate 1</t>
        </is>
      </c>
    </row>
    <row r="2">
      <c r="A2" s="4" t="inlineStr">
        <is>
          <t>Priority 1 matters most for the results.</t>
        </is>
      </c>
    </row>
    <row r="3" ht="30" customHeight="1">
      <c r="A3" s="5" t="inlineStr">
        <is>
          <t>Parameter</t>
        </is>
      </c>
      <c r="B3" s="5" t="inlineStr">
        <is>
          <t>Current value (v0.3)</t>
        </is>
      </c>
      <c r="C3" s="5" t="inlineStr">
        <is>
          <t>What the literature says</t>
        </is>
      </c>
      <c r="D3" s="5" t="inlineStr">
        <is>
          <t>How Gate 1 should measure it</t>
        </is>
      </c>
      <c r="E3" s="5" t="inlineStr">
        <is>
          <t>Priority</t>
        </is>
      </c>
    </row>
    <row r="4">
      <c r="A4" s="6" t="inlineStr">
        <is>
          <t>Watch return path on our board (C_GE)</t>
        </is>
      </c>
      <c r="B4" s="6" t="inlineStr">
        <is>
          <t>0.4–1.5 pF (single)</t>
        </is>
      </c>
      <c r="C4" s="6" t="inlineStr">
        <is>
          <t>S11 ~0.45 pF at the wrist; S5 ~1.5 pF</t>
        </is>
      </c>
      <c r="D4" s="6" t="inlineStr">
        <is>
          <t>Battery board on wrist: inject a known signal and compare with a reference capacitor (method in S5/S11)</t>
        </is>
      </c>
      <c r="E4" s="6" t="n">
        <v>1</v>
      </c>
    </row>
    <row r="5">
      <c r="A5" s="6" t="inlineStr">
        <is>
          <t>His palm on the outer electrode</t>
        </is>
      </c>
      <c r="B5" s="6" t="inlineStr">
        <is>
          <t>Skin 10–20 cm² + coating</t>
        </is>
      </c>
      <c r="C5" s="6" t="inlineStr">
        <is>
          <t>No direct source</t>
        </is>
      </c>
      <c r="D5" s="6" t="inlineStr">
        <is>
          <t>Sweep change for firm grab vs light touch on the strap</t>
        </is>
      </c>
      <c r="E5" s="6" t="n">
        <v>2</v>
      </c>
    </row>
    <row r="6">
      <c r="A6" s="6" t="inlineStr">
        <is>
          <t>Shield residual on our layout</t>
        </is>
      </c>
      <c r="B6" s="6" t="inlineStr">
        <is>
          <t>20–50%</t>
        </is>
      </c>
      <c r="C6" s="6" t="inlineStr">
        <is>
          <t>S14: 23–66% for flat shields</t>
        </is>
      </c>
      <c r="D6" s="6" t="inlineStr">
        <is>
          <t>Measure watch-to-wrist coupling with the shield driven vs grounded</t>
        </is>
      </c>
      <c r="E6" s="6" t="n">
        <v>3</v>
      </c>
    </row>
    <row r="7">
      <c r="A7" s="6" t="inlineStr">
        <is>
          <t>Measurement noise on our board</t>
        </is>
      </c>
      <c r="B7" s="6" t="inlineStr">
        <is>
          <t>0.1% of full scale</t>
        </is>
      </c>
      <c r="C7" s="6" t="inlineStr">
        <is>
          <t>S15 weak source</t>
        </is>
      </c>
      <c r="D7" s="6" t="inlineStr">
        <is>
          <t>Log 1,000 sweeps with nothing touching; compute std. dev. per point</t>
        </is>
      </c>
      <c r="E7" s="6" t="n">
        <v>4</v>
      </c>
    </row>
    <row r="8">
      <c r="A8" s="6" t="inlineStr">
        <is>
          <t>Strap-gap jitter while walking</t>
        </is>
      </c>
      <c r="B8" s="6" t="inlineStr">
        <is>
          <t>1.5–5%</t>
        </is>
      </c>
      <c r="C8" s="6" t="inlineStr">
        <is>
          <t>No source</t>
        </is>
      </c>
      <c r="D8" s="6" t="inlineStr">
        <is>
          <t>Log sweeps for 10 minutes of walking and arm movement</t>
        </is>
      </c>
      <c r="E8" s="6" t="n">
        <v>5</v>
      </c>
    </row>
    <row r="9">
      <c r="A9" s="6" t="inlineStr">
        <is>
          <t>His hand a few cm from the strap</t>
        </is>
      </c>
      <c r="B9" s="6" t="inlineStr">
        <is>
          <t>0.5–3 pF</t>
        </is>
      </c>
      <c r="C9" s="6" t="inlineStr">
        <is>
          <t>No source</t>
        </is>
      </c>
      <c r="D9" s="6" t="inlineStr">
        <is>
          <t>Forearm-grab trials at 2, 5, 10 cm from the strap</t>
        </is>
      </c>
      <c r="E9" s="6" t="n">
        <v>6</v>
      </c>
    </row>
    <row r="10">
      <c r="A10" s="6" t="inlineStr">
        <is>
          <t>Body capacitance in sandals / car seat</t>
        </is>
      </c>
      <c r="B10" s="6" t="inlineStr">
        <is>
          <t>130–210 / 150–300 pF</t>
        </is>
      </c>
      <c r="C10" s="6" t="inlineStr">
        <is>
          <t>No measurement found</t>
        </is>
      </c>
      <c r="D10" s="6" t="inlineStr">
        <is>
          <t>Measure with an LCR meter at 1–100 kHz (Jonassen's method)</t>
        </is>
      </c>
      <c r="E10" s="6" t="n">
        <v>7</v>
      </c>
    </row>
    <row r="11">
      <c r="A11" s="6" t="inlineStr">
        <is>
          <t>Wrist on wooden table; bag</t>
        </is>
      </c>
      <c r="B11" s="6" t="inlineStr">
        <is>
          <t>1–20 pF</t>
        </is>
      </c>
      <c r="C11" s="6" t="inlineStr">
        <is>
          <t>No source</t>
        </is>
      </c>
      <c r="D11" s="6" t="inlineStr">
        <is>
          <t>Record sweeps during these events</t>
        </is>
      </c>
      <c r="E11" s="6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2026-10-14T13:04:50Z</dcterms:created>
  <dcterms:modified xmlns:dcterms="http://purl.org/dc/terms/" xmlns:xsi="http://www.w3.org/2001/XMLSchema-instance" xsi:type="dcterms:W3CDTF">2026-10-14T13:04:50Z</dcterms:modified>
</cp:coreProperties>
</file>